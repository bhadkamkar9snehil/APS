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hadk\Documents\APS\"/>
    </mc:Choice>
  </mc:AlternateContent>
  <xr:revisionPtr revIDLastSave="0" documentId="13_ncr:1_{6D5811E9-12C5-46C5-AD4A-9D07ACF74307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Control_Panel" sheetId="1" r:id="rId1"/>
    <sheet name="SKU_Master" sheetId="2" r:id="rId2"/>
    <sheet name="BOM" sheetId="3" r:id="rId3"/>
    <sheet name="Inventory" sheetId="4" r:id="rId4"/>
    <sheet name="Sales_Orders" sheetId="5" r:id="rId5"/>
    <sheet name="Resource_Master" sheetId="6" r:id="rId6"/>
    <sheet name="Routing" sheetId="7" r:id="rId7"/>
    <sheet name="Changeover_Matrix" sheetId="8" r:id="rId8"/>
    <sheet name="Capacity_Map" sheetId="9" r:id="rId9"/>
    <sheet name="Schedule_Output" sheetId="10" r:id="rId10"/>
    <sheet name="Theo_vs_Actual" sheetId="11" r:id="rId11"/>
    <sheet name="Scenarios" sheetId="12" r:id="rId12"/>
    <sheet name="KPI_Dashboard" sheetId="13" r:id="rId13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7" i="13" l="1"/>
  <c r="B4" i="13"/>
  <c r="I8" i="6"/>
  <c r="F8" i="6"/>
  <c r="I7" i="6"/>
  <c r="F7" i="6"/>
  <c r="I6" i="6"/>
  <c r="F6" i="6"/>
  <c r="I5" i="6"/>
  <c r="F5" i="6"/>
  <c r="I4" i="6"/>
  <c r="F4" i="6"/>
  <c r="I3" i="6"/>
  <c r="F3" i="6"/>
  <c r="I2" i="6"/>
  <c r="F2" i="6"/>
  <c r="I13" i="4"/>
  <c r="I12" i="4"/>
  <c r="I11" i="4"/>
  <c r="I10" i="4"/>
  <c r="I9" i="4"/>
  <c r="I8" i="4"/>
  <c r="I7" i="4"/>
  <c r="I6" i="4"/>
  <c r="I5" i="4"/>
  <c r="I4" i="4"/>
  <c r="I3" i="4"/>
  <c r="I2" i="4"/>
  <c r="I13" i="2"/>
  <c r="I12" i="2"/>
  <c r="I11" i="2"/>
  <c r="I10" i="2"/>
  <c r="I9" i="2"/>
  <c r="I8" i="2"/>
  <c r="I7" i="2"/>
  <c r="I6" i="2"/>
  <c r="I5" i="2"/>
  <c r="I4" i="2"/>
  <c r="I3" i="2"/>
  <c r="I2" i="2"/>
</calcChain>
</file>

<file path=xl/sharedStrings.xml><?xml version="1.0" encoding="utf-8"?>
<sst xmlns="http://schemas.openxmlformats.org/spreadsheetml/2006/main" count="663" uniqueCount="259">
  <si>
    <t>APS — Advanced Planning &amp; Scheduling</t>
  </si>
  <si>
    <t>Steel / Metal Plant  |  xlwings + Python Engine</t>
  </si>
  <si>
    <t>💥  Run BOM Explosion</t>
  </si>
  <si>
    <t>Explodes Sales Order demand through multi-level BOM and nets against inventory.</t>
  </si>
  <si>
    <t>📊  Run Capacity Map</t>
  </si>
  <si>
    <t>Calculates demand hours per machine and compares vs available capacity.</t>
  </si>
  <si>
    <t>📅  Run Schedule</t>
  </si>
  <si>
    <t>Generates finite schedule using EDD. Late jobs highlighted in red.</t>
  </si>
  <si>
    <t>🔀  Run Scenarios</t>
  </si>
  <si>
    <t>Runs all What-If scenarios and writes comparison to Scenarios sheet.</t>
  </si>
  <si>
    <t>🗑  Clear Outputs</t>
  </si>
  <si>
    <t>Clears all computed outputs. Use before a fresh run.</t>
  </si>
  <si>
    <t>Last Run Status:</t>
  </si>
  <si>
    <t>Not yet run</t>
  </si>
  <si>
    <t>SETUP INSTRUCTIONS
1. Install xlwings add-in: open cmd, run  xlwings addin install
2. In Excel ribbon → xlwings tab → set Python path to your python.exe
3. Set UDF Modules to:  aps_functions
4. Click any button above to run the engine</t>
  </si>
  <si>
    <t>SKU_ID</t>
  </si>
  <si>
    <t>SKU_Name</t>
  </si>
  <si>
    <t>SKU_Type</t>
  </si>
  <si>
    <t>UOM</t>
  </si>
  <si>
    <t>Lead_Time_Days</t>
  </si>
  <si>
    <t>Min_Order_Qty</t>
  </si>
  <si>
    <t>Safety_Stock</t>
  </si>
  <si>
    <t>Shelf_Life_Days</t>
  </si>
  <si>
    <t>Active</t>
  </si>
  <si>
    <t>SKU-FG-001</t>
  </si>
  <si>
    <t>Billets 100x100</t>
  </si>
  <si>
    <t>Finished Good</t>
  </si>
  <si>
    <t>MT</t>
  </si>
  <si>
    <t>SKU-FG-002</t>
  </si>
  <si>
    <t>Billets 130x130</t>
  </si>
  <si>
    <t>SKU-FG-003</t>
  </si>
  <si>
    <t>TMT Rebar 12mm</t>
  </si>
  <si>
    <t>SKU-FG-004</t>
  </si>
  <si>
    <t>TMT Rebar 16mm</t>
  </si>
  <si>
    <t>SKU-FG-005</t>
  </si>
  <si>
    <t>Wire Rod 5.5mm</t>
  </si>
  <si>
    <t>SKU-SF-001</t>
  </si>
  <si>
    <t>Liquid Steel Heat</t>
  </si>
  <si>
    <t>Semi-Finished</t>
  </si>
  <si>
    <t>SKU-SF-002</t>
  </si>
  <si>
    <t>Bloom 160x160</t>
  </si>
  <si>
    <t>SKU-RM-001</t>
  </si>
  <si>
    <t>Scrap HMS-1</t>
  </si>
  <si>
    <t>Raw Material</t>
  </si>
  <si>
    <t>SKU-RM-002</t>
  </si>
  <si>
    <t>Scrap HMS-2</t>
  </si>
  <si>
    <t>SKU-RM-003</t>
  </si>
  <si>
    <t>DRI / Sponge Iron</t>
  </si>
  <si>
    <t>SKU-RM-004</t>
  </si>
  <si>
    <t>Ferro Alloys</t>
  </si>
  <si>
    <t>KG</t>
  </si>
  <si>
    <t>SKU-RM-005</t>
  </si>
  <si>
    <t>Electrode</t>
  </si>
  <si>
    <t>PCS</t>
  </si>
  <si>
    <t>BOM_ID</t>
  </si>
  <si>
    <t>Parent_SKU</t>
  </si>
  <si>
    <t>Parent_Name</t>
  </si>
  <si>
    <t>Level</t>
  </si>
  <si>
    <t>Child_SKU</t>
  </si>
  <si>
    <t>Child_Name</t>
  </si>
  <si>
    <t>Qty_Per</t>
  </si>
  <si>
    <t>Scrap_%</t>
  </si>
  <si>
    <t>Effective_From</t>
  </si>
  <si>
    <t>BOM-001</t>
  </si>
  <si>
    <t>2024-01-01</t>
  </si>
  <si>
    <t>BOM-002</t>
  </si>
  <si>
    <t>BOM-003</t>
  </si>
  <si>
    <t>BOM-004</t>
  </si>
  <si>
    <t>BOM-005</t>
  </si>
  <si>
    <t>BOM-006</t>
  </si>
  <si>
    <t>BOM-007</t>
  </si>
  <si>
    <t>BOM-008</t>
  </si>
  <si>
    <t>BOM-009</t>
  </si>
  <si>
    <t>BOM-010</t>
  </si>
  <si>
    <t>BOM-011</t>
  </si>
  <si>
    <t>On_Hand_Qty</t>
  </si>
  <si>
    <t>WIP_Qty</t>
  </si>
  <si>
    <t>In_Transit_Qty</t>
  </si>
  <si>
    <t>Reserved_Qty</t>
  </si>
  <si>
    <t>Available_Qty</t>
  </si>
  <si>
    <t>Last_Updated</t>
  </si>
  <si>
    <t>2026-04-01</t>
  </si>
  <si>
    <t>SO_ID</t>
  </si>
  <si>
    <t>Customer</t>
  </si>
  <si>
    <t>State</t>
  </si>
  <si>
    <t>Order_Qty</t>
  </si>
  <si>
    <t>Order_Date</t>
  </si>
  <si>
    <t>Delivery_Date</t>
  </si>
  <si>
    <t>Priority</t>
  </si>
  <si>
    <t>Status</t>
  </si>
  <si>
    <t>SO-2025-001</t>
  </si>
  <si>
    <t>Shyam Steel</t>
  </si>
  <si>
    <t>Jharkhand</t>
  </si>
  <si>
    <t>2026-04-06</t>
  </si>
  <si>
    <t>2026-04-19</t>
  </si>
  <si>
    <t>High</t>
  </si>
  <si>
    <t>Open</t>
  </si>
  <si>
    <t>SO-2025-002</t>
  </si>
  <si>
    <t>Tata Projects</t>
  </si>
  <si>
    <t>Odisha</t>
  </si>
  <si>
    <t>2026-04-13</t>
  </si>
  <si>
    <t>SO-2025-003</t>
  </si>
  <si>
    <t>2026-04-02</t>
  </si>
  <si>
    <t>2026-04-14</t>
  </si>
  <si>
    <t>Low</t>
  </si>
  <si>
    <t>SO-2025-004</t>
  </si>
  <si>
    <t>2026-04-20</t>
  </si>
  <si>
    <t>Medium</t>
  </si>
  <si>
    <t>SO-2025-005</t>
  </si>
  <si>
    <t>Larsen &amp; Toubro</t>
  </si>
  <si>
    <t>Gujarat</t>
  </si>
  <si>
    <t>2026-04-11</t>
  </si>
  <si>
    <t>SO-2025-006</t>
  </si>
  <si>
    <t>JSW Infra</t>
  </si>
  <si>
    <t>Maharashtra</t>
  </si>
  <si>
    <t>2026-04-17</t>
  </si>
  <si>
    <t>SO-2025-007</t>
  </si>
  <si>
    <t>NCC Ltd</t>
  </si>
  <si>
    <t>Andhra Pradesh</t>
  </si>
  <si>
    <t>2026-04-03</t>
  </si>
  <si>
    <t>SO-2025-008</t>
  </si>
  <si>
    <t>2026-04-18</t>
  </si>
  <si>
    <t>SO-2025-009</t>
  </si>
  <si>
    <t>SO-2025-010</t>
  </si>
  <si>
    <t>SO-2025-011</t>
  </si>
  <si>
    <t>2026-04-22</t>
  </si>
  <si>
    <t>SO-2025-012</t>
  </si>
  <si>
    <t>SO-2025-013</t>
  </si>
  <si>
    <t>SO-2025-014</t>
  </si>
  <si>
    <t>SO-2025-015</t>
  </si>
  <si>
    <t>SO-2025-016</t>
  </si>
  <si>
    <t>2026-04-21</t>
  </si>
  <si>
    <t>SO-2025-017</t>
  </si>
  <si>
    <t>2026-04-25</t>
  </si>
  <si>
    <t>SO-2025-018</t>
  </si>
  <si>
    <t>SO-2025-019</t>
  </si>
  <si>
    <t>SO-2025-020</t>
  </si>
  <si>
    <t>2026-04-10</t>
  </si>
  <si>
    <t>Resource_ID</t>
  </si>
  <si>
    <t>Resource_Name</t>
  </si>
  <si>
    <t>Resource_Type</t>
  </si>
  <si>
    <t>Shifts_Per_Day</t>
  </si>
  <si>
    <t>Hours_Per_Shift</t>
  </si>
  <si>
    <t>Avail_Hours_Day</t>
  </si>
  <si>
    <t>Changeover_Min</t>
  </si>
  <si>
    <t>Maintenance_Window</t>
  </si>
  <si>
    <t>EAF-01</t>
  </si>
  <si>
    <t>Electric Arc Furnace 1</t>
  </si>
  <si>
    <t>Melting</t>
  </si>
  <si>
    <t>02:00-03:00</t>
  </si>
  <si>
    <t>EAF-02</t>
  </si>
  <si>
    <t>Electric Arc Furnace 2</t>
  </si>
  <si>
    <t>03:00-04:00</t>
  </si>
  <si>
    <t>CCM-01</t>
  </si>
  <si>
    <t>Continuous Caster 1</t>
  </si>
  <si>
    <t>Casting</t>
  </si>
  <si>
    <t>01:00-02:00</t>
  </si>
  <si>
    <t>CCM-02</t>
  </si>
  <si>
    <t>Continuous Caster 2</t>
  </si>
  <si>
    <t>04:00-05:00</t>
  </si>
  <si>
    <t>RM-01</t>
  </si>
  <si>
    <t>Rolling Mill 1</t>
  </si>
  <si>
    <t>Rolling</t>
  </si>
  <si>
    <t>00:00-01:00</t>
  </si>
  <si>
    <t>RM-02</t>
  </si>
  <si>
    <t>Rolling Mill 2</t>
  </si>
  <si>
    <t>WR-01</t>
  </si>
  <si>
    <t>Wire Rod Mill</t>
  </si>
  <si>
    <t>00:00-02:00</t>
  </si>
  <si>
    <t>Routing_ID</t>
  </si>
  <si>
    <t>Operation_Seq</t>
  </si>
  <si>
    <t>Operation</t>
  </si>
  <si>
    <t>Cycle_Time_Hr_MT</t>
  </si>
  <si>
    <t>Setup_Time_Hr</t>
  </si>
  <si>
    <t>Min_Batch_MT</t>
  </si>
  <si>
    <t>Max_Batch_MT</t>
  </si>
  <si>
    <t>RT-001</t>
  </si>
  <si>
    <t>RT-002</t>
  </si>
  <si>
    <t>RT-003</t>
  </si>
  <si>
    <t>RT-004</t>
  </si>
  <si>
    <t>RT-005</t>
  </si>
  <si>
    <t>RT-006</t>
  </si>
  <si>
    <t>RT-007</t>
  </si>
  <si>
    <t>RT-008</t>
  </si>
  <si>
    <t>RT-009</t>
  </si>
  <si>
    <t>RT-010</t>
  </si>
  <si>
    <t>RT-011</t>
  </si>
  <si>
    <t>RT-012</t>
  </si>
  <si>
    <t>RT-013</t>
  </si>
  <si>
    <t>From \ To (minutes)</t>
  </si>
  <si>
    <t>Avail_Hrs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</si>
  <si>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</si>
  <si>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</si>
  <si>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</si>
  <si>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</si>
  <si>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</si>
  <si>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</si>
  <si>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</si>
  <si>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</si>
  <si>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</si>
  <si>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</si>
  <si>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</si>
  <si>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</si>
  <si>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</si>
  <si>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</si>
  <si>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Utilisation %</t>
  </si>
  <si>
    <t>Job_ID</t>
  </si>
  <si>
    <t>Planned_Start</t>
  </si>
  <si>
    <t>Planned_End</t>
  </si>
  <si>
    <t>Duration_Hrs</t>
  </si>
  <si>
    <t>Qty_MT</t>
  </si>
  <si>
    <t>Actual_Start</t>
  </si>
  <si>
    <t>Actual_End</t>
  </si>
  <si>
    <t>Variance_Hrs</t>
  </si>
  <si>
    <t>← Schedule will be populated by Python engine</t>
  </si>
  <si>
    <t>Theo_Duration_Hrs</t>
  </si>
  <si>
    <t>Actual_Duration_Hrs</t>
  </si>
  <si>
    <t>Variance_%</t>
  </si>
  <si>
    <t>Flag</t>
  </si>
  <si>
    <t>← Populated after actuals are logged</t>
  </si>
  <si>
    <t>What-If Scenario Parameters</t>
  </si>
  <si>
    <t>Parameter</t>
  </si>
  <si>
    <t>Value</t>
  </si>
  <si>
    <t>Description</t>
  </si>
  <si>
    <t>Demand Spike %</t>
  </si>
  <si>
    <t>% increase applied to all SO quantities</t>
  </si>
  <si>
    <t>Machine Down (Resource_ID)</t>
  </si>
  <si>
    <t>Enter resource ID to simulate downtime</t>
  </si>
  <si>
    <t>Machine Down (Hours)</t>
  </si>
  <si>
    <t>Duration of downtime</t>
  </si>
  <si>
    <t>Inventory Shortage SKU</t>
  </si>
  <si>
    <t>SKU_ID with shortage</t>
  </si>
  <si>
    <t>Inventory Shortage Qty</t>
  </si>
  <si>
    <t>Quantity to reduce from available</t>
  </si>
  <si>
    <t>Extra Shift (Resource_ID)</t>
  </si>
  <si>
    <t>Resource to add extra shift</t>
  </si>
  <si>
    <t>Extra Shift (Hours)</t>
  </si>
  <si>
    <t>Additional hours</t>
  </si>
  <si>
    <t>Safety Buffer (Hrs)</t>
  </si>
  <si>
    <t>Buffer time added between jobs</t>
  </si>
  <si>
    <t>APS KPI Dashboard  —  Steel / Metal Plant</t>
  </si>
  <si>
    <t>KPI</t>
  </si>
  <si>
    <t>Remark</t>
  </si>
  <si>
    <t>OTIF %</t>
  </si>
  <si>
    <t>Target: &gt;95%</t>
  </si>
  <si>
    <t>Avg Machine Utilisation %</t>
  </si>
  <si>
    <t>← from Capacity_Map</t>
  </si>
  <si>
    <t>Target: 80-90%</t>
  </si>
  <si>
    <t>Total Changeover Hrs</t>
  </si>
  <si>
    <t>← from Schedule_Output</t>
  </si>
  <si>
    <t>Minimize</t>
  </si>
  <si>
    <t>Total Orders Scheduled</t>
  </si>
  <si>
    <t>Auto</t>
  </si>
  <si>
    <t>Orders at Risk (Late)</t>
  </si>
  <si>
    <t>← engine flag</t>
  </si>
  <si>
    <t>Alert if &gt;0</t>
  </si>
  <si>
    <t>Avg Variance Hrs</t>
  </si>
  <si>
    <t>← from Theo_vs_Actual</t>
  </si>
  <si>
    <t>Target: &lt;1hr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</si>
</sst>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charset val="1"/>
    </font>
    <font>
      <b/>
      <sz val="14"/>
      <color rgb="FFFFFFFF"/>
      <name val="Arial"/>
      <charset val="1"/>
    </font>
    <font>
      <i/>
      <sz val="10"/>
      <color rgb="FF666666"/>
      <name val="Arial"/>
      <charset val="1"/>
    </font>
    <font>
      <b/>
      <sz val="11"/>
      <color rgb="FFFFFFFF"/>
      <name val="Arial"/>
      <charset val="1"/>
    </font>
    <font>
      <sz val="10"/>
      <color rgb="FF444444"/>
      <name val="Arial"/>
      <charset val="1"/>
    </font>
    <font>
      <b/>
      <sz val="10"/>
      <name val="Arial"/>
      <charset val="1"/>
    </font>
    <font>
      <i/>
      <sz val="10"/>
      <color rgb="FF888888"/>
      <name val="Arial"/>
      <charset val="1"/>
    </font>
    <font>
      <sz val="9"/>
      <color rgb="FF444444"/>
      <name val="Arial"/>
      <charset val="1"/>
    </font>
    <font>
      <b/>
      <sz val="10"/>
      <color rgb="FFFFFFFF"/>
      <name val="Arial"/>
      <charset val="1"/>
    </font>
    <font>
      <sz val="10"/>
      <name val="Arial"/>
      <charset val="1"/>
    </font>
    <font>
      <sz val="10"/>
      <color rgb="FF0000FF"/>
      <name val="Arial"/>
      <charset val="1"/>
    </font>
    <font>
      <sz val="10"/>
      <color rgb="FF000000"/>
      <name val="Arial"/>
      <charset val="1"/>
    </font>
    <font>
      <b/>
      <sz val="12"/>
      <color rgb="FFFFFFFF"/>
      <name val="Arial"/>
      <charset val="1"/>
    </font>
  </fonts>
  <fills count="8">
    <fill>
      <patternFill patternType="none"/>
    </fill>
    <fill>
      <patternFill patternType="gray125"/>
    </fill>
    <fill>
      <patternFill patternType="solid">
        <fgColor rgb="FF1F3864"/>
        <bgColor rgb="FF333399"/>
      </patternFill>
    </fill>
    <fill>
      <patternFill patternType="solid">
        <fgColor rgb="FF2E75B6"/>
        <bgColor rgb="FF0066CC"/>
      </patternFill>
    </fill>
    <fill>
      <patternFill patternType="solid">
        <fgColor rgb="FFC00000"/>
        <bgColor rgb="FF800000"/>
      </patternFill>
    </fill>
    <fill>
      <patternFill patternType="solid">
        <fgColor rgb="FFEEF2F7"/>
        <bgColor rgb="FFFFFFFF"/>
      </patternFill>
    </fill>
    <fill>
      <patternFill patternType="solid">
        <fgColor rgb="FFD6E4F0"/>
        <bgColor rgb="FFEEF2F7"/>
      </patternFill>
    </fill>
    <fill>
      <patternFill patternType="solid">
        <fgColor rgb="FFFFFF00"/>
        <bgColor rgb="FFFFFF00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2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vertical="top" wrapText="1"/>
    </xf>
    <xf numFmtId="0" fontId="6" fillId="0" borderId="0" xfId="0" applyFont="1"/>
    <xf numFmtId="0" fontId="4" fillId="0" borderId="0" xfId="0" applyFont="1" applyAlignment="1">
      <alignment horizontal="left" vertical="center" wrapText="1"/>
    </xf>
    <xf numFmtId="0" fontId="2" fillId="0" borderId="0" xfId="0" applyFont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8" fillId="2" borderId="2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left" vertical="center"/>
    </xf>
    <xf numFmtId="0" fontId="10" fillId="0" borderId="2" xfId="0" applyFont="1" applyBorder="1" applyAlignment="1">
      <alignment horizontal="left" vertical="center"/>
    </xf>
    <xf numFmtId="0" fontId="11" fillId="0" borderId="2" xfId="0" applyFont="1" applyBorder="1"/>
    <xf numFmtId="0" fontId="11" fillId="0" borderId="2" xfId="0" applyFont="1" applyBorder="1" applyAlignment="1">
      <alignment horizontal="left" vertical="center"/>
    </xf>
    <xf numFmtId="0" fontId="8" fillId="2" borderId="0" xfId="0" applyFont="1" applyFill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0" fillId="7" borderId="2" xfId="0" applyFont="1" applyFill="1" applyBorder="1" applyAlignment="1">
      <alignment horizontal="left" vertical="center"/>
    </xf>
    <xf numFmtId="0" fontId="6" fillId="0" borderId="2" xfId="0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CCC"/>
      <rgbColor rgb="FF888888"/>
      <rgbColor rgb="FF9999FF"/>
      <rgbColor rgb="FF993366"/>
      <rgbColor rgb="FFEEF2F7"/>
      <rgbColor rgb="FFCCFFFF"/>
      <rgbColor rgb="FF660066"/>
      <rgbColor rgb="FFFF8080"/>
      <rgbColor rgb="FF0066CC"/>
      <rgbColor rgb="FFD6E4F0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2E75B6"/>
      <rgbColor rgb="FF33CCCC"/>
      <rgbColor rgb="FF99CC00"/>
      <rgbColor rgb="FFFFCC00"/>
      <rgbColor rgb="FFFF9900"/>
      <rgbColor rgb="FFFF6600"/>
      <rgbColor rgb="FF666666"/>
      <rgbColor rgb="FFAAAAAA"/>
      <rgbColor rgb="FF1F3864"/>
      <rgbColor rgb="FF339966"/>
      <rgbColor rgb="FF003300"/>
      <rgbColor rgb="FF333300"/>
      <rgbColor rgb="FF993300"/>
      <rgbColor rgb="FF993366"/>
      <rgbColor rgb="FF333399"/>
      <rgbColor rgb="FF444444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26"/>
  <sheetViews>
    <sheetView showGridLines="0" tabSelected="1" zoomScaleNormal="100" workbookViewId="0">
      <selection activeCell="J19" sqref="J19"/>
    </sheetView>
  </sheetViews>
  <sheetFormatPr defaultColWidth="8.7109375" defaultRowHeight="15" x14ac:dyDescent="0.25"/>
  <cols>
    <col min="2" max="2" width="28" customWidth="1"/>
    <col min="3" max="3" width="2" customWidth="1"/>
    <col min="4" max="4" width="52" customWidth="1"/>
    <col min="5" max="5" width="16" customWidth="1"/>
  </cols>
  <sheetData>
    <row r="2" spans="2:6" ht="36" customHeight="1" x14ac:dyDescent="0.25">
      <c r="B2" s="6" t="s">
        <v>0</v>
      </c>
      <c r="C2" s="6"/>
      <c r="D2" s="6"/>
      <c r="E2" s="6"/>
      <c r="F2" s="6"/>
    </row>
    <row r="3" spans="2:6" x14ac:dyDescent="0.25">
      <c r="B3" s="5" t="s">
        <v>1</v>
      </c>
      <c r="C3" s="5"/>
      <c r="D3" s="5"/>
      <c r="E3" s="5"/>
      <c r="F3" s="5"/>
    </row>
    <row r="6" spans="2:6" ht="27.75" customHeight="1" x14ac:dyDescent="0.25">
      <c r="B6" s="7" t="s">
        <v>2</v>
      </c>
      <c r="D6" s="4" t="s">
        <v>3</v>
      </c>
      <c r="E6" s="4"/>
    </row>
    <row r="9" spans="2:6" ht="27.75" customHeight="1" x14ac:dyDescent="0.25">
      <c r="B9" s="7" t="s">
        <v>4</v>
      </c>
      <c r="D9" s="4" t="s">
        <v>5</v>
      </c>
      <c r="E9" s="4"/>
    </row>
    <row r="12" spans="2:6" ht="27.75" customHeight="1" x14ac:dyDescent="0.25">
      <c r="B12" s="7" t="s">
        <v>6</v>
      </c>
      <c r="D12" s="4" t="s">
        <v>7</v>
      </c>
      <c r="E12" s="4"/>
    </row>
    <row r="15" spans="2:6" ht="27.75" customHeight="1" x14ac:dyDescent="0.25">
      <c r="B15" s="7" t="s">
        <v>8</v>
      </c>
      <c r="D15" s="4" t="s">
        <v>9</v>
      </c>
      <c r="E15" s="4"/>
    </row>
    <row r="19" spans="2:5" ht="27.75" customHeight="1" x14ac:dyDescent="0.25">
      <c r="B19" s="8" t="s">
        <v>10</v>
      </c>
      <c r="D19" s="4" t="s">
        <v>11</v>
      </c>
      <c r="E19" s="4"/>
    </row>
    <row r="21" spans="2:5" x14ac:dyDescent="0.25">
      <c r="B21" s="9" t="s">
        <v>12</v>
      </c>
      <c r="D21" s="3" t="s">
        <v>13</v>
      </c>
      <c r="E21" s="3"/>
    </row>
    <row r="23" spans="2:5" ht="15" customHeight="1" x14ac:dyDescent="0.25">
      <c r="B23" s="2" t="s">
        <v>14</v>
      </c>
      <c r="C23" s="2"/>
      <c r="D23" s="2"/>
      <c r="E23" s="2"/>
    </row>
    <row r="24" spans="2:5" x14ac:dyDescent="0.25">
      <c r="B24" s="2"/>
      <c r="C24" s="2"/>
      <c r="D24" s="2"/>
      <c r="E24" s="2"/>
    </row>
    <row r="25" spans="2:5" x14ac:dyDescent="0.25">
      <c r="B25" s="2"/>
      <c r="C25" s="2"/>
      <c r="D25" s="2"/>
      <c r="E25" s="2"/>
    </row>
    <row r="26" spans="2:5" x14ac:dyDescent="0.25">
      <c r="B26" s="2"/>
      <c r="C26" s="2"/>
      <c r="D26" s="2"/>
      <c r="E26" s="2"/>
    </row>
  </sheetData>
  <mergeCells count="9">
    <mergeCell ref="D15:E15"/>
    <mergeCell ref="D19:E19"/>
    <mergeCell ref="D21:E21"/>
    <mergeCell ref="B23:E26"/>
    <mergeCell ref="B2:F2"/>
    <mergeCell ref="B3:F3"/>
    <mergeCell ref="D6:E6"/>
    <mergeCell ref="D9:E9"/>
    <mergeCell ref="D12:E12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showGridLines="0" zoomScaleNormal="100" workbookViewId="0">
      <pane ySplit="1" topLeftCell="A2" activePane="bottomLeft" state="frozen"/>
      <selection activeCell="M23" sqref="M23"/>
      <selection pane="bottomLeft" activeCell="M23" sqref="M23"/>
    </sheetView>
  </sheetViews>
  <sheetFormatPr defaultColWidth="8.7109375" defaultRowHeight="15" x14ac:dyDescent="0.25"/>
  <cols>
    <col min="1" max="1" width="14" customWidth="1"/>
    <col min="2" max="2" width="28" customWidth="1"/>
    <col min="3" max="3" width="18" customWidth="1"/>
    <col min="4" max="4" width="8" customWidth="1"/>
    <col min="5" max="6" width="16" customWidth="1"/>
    <col min="7" max="7" width="14" customWidth="1"/>
    <col min="8" max="8" width="16" customWidth="1"/>
    <col min="9" max="9" width="10" customWidth="1"/>
  </cols>
  <sheetData>
    <row r="1" spans="1:9" ht="15" customHeight="1" x14ac:dyDescent="0.25">
      <c r="A1" s="11" t="s">
        <v>15</v>
      </c>
      <c r="B1" s="11" t="s">
        <v>16</v>
      </c>
      <c r="C1" s="11" t="s">
        <v>17</v>
      </c>
      <c r="D1" s="11" t="s">
        <v>18</v>
      </c>
      <c r="E1" s="11" t="s">
        <v>19</v>
      </c>
      <c r="F1" s="11" t="s">
        <v>20</v>
      </c>
      <c r="G1" s="11" t="s">
        <v>21</v>
      </c>
      <c r="H1" s="11" t="s">
        <v>22</v>
      </c>
      <c r="I1" s="11" t="s">
        <v>23</v>
      </c>
    </row>
    <row r="2" spans="1:9" ht="15" customHeight="1" x14ac:dyDescent="0.25">
      <c r="A2" s="12" t="s">
        <v>24</v>
      </c>
      <c r="B2" s="12" t="s">
        <v>25</v>
      </c>
      <c r="C2" s="12" t="s">
        <v>26</v>
      </c>
      <c r="D2" s="12" t="s">
        <v>27</v>
      </c>
      <c r="E2" s="13">
        <v>3</v>
      </c>
      <c r="F2" s="13">
        <v>50</v>
      </c>
      <c r="G2" s="13">
        <v>20</v>
      </c>
      <c r="H2" s="13"/>
      <c r="I2" s="12" t="b">
        <f>TRUE()</f>
        <v>1</v>
      </c>
    </row>
    <row r="3" spans="1:9" ht="15" customHeight="1" x14ac:dyDescent="0.25">
      <c r="A3" s="12" t="s">
        <v>28</v>
      </c>
      <c r="B3" s="12" t="s">
        <v>29</v>
      </c>
      <c r="C3" s="12" t="s">
        <v>26</v>
      </c>
      <c r="D3" s="12" t="s">
        <v>27</v>
      </c>
      <c r="E3" s="13">
        <v>3</v>
      </c>
      <c r="F3" s="13">
        <v>50</v>
      </c>
      <c r="G3" s="13">
        <v>20</v>
      </c>
      <c r="H3" s="13"/>
      <c r="I3" s="12" t="b">
        <f>TRUE()</f>
        <v>1</v>
      </c>
    </row>
    <row r="4" spans="1:9" ht="15" customHeight="1" x14ac:dyDescent="0.25">
      <c r="A4" s="12" t="s">
        <v>30</v>
      </c>
      <c r="B4" s="12" t="s">
        <v>31</v>
      </c>
      <c r="C4" s="12" t="s">
        <v>26</v>
      </c>
      <c r="D4" s="12" t="s">
        <v>27</v>
      </c>
      <c r="E4" s="13">
        <v>2</v>
      </c>
      <c r="F4" s="13">
        <v>25</v>
      </c>
      <c r="G4" s="13">
        <v>15</v>
      </c>
      <c r="H4" s="13"/>
      <c r="I4" s="12" t="b">
        <f>TRUE()</f>
        <v>1</v>
      </c>
    </row>
    <row r="5" spans="1:9" ht="15" customHeight="1" x14ac:dyDescent="0.25">
      <c r="A5" s="12" t="s">
        <v>32</v>
      </c>
      <c r="B5" s="12" t="s">
        <v>33</v>
      </c>
      <c r="C5" s="12" t="s">
        <v>26</v>
      </c>
      <c r="D5" s="12" t="s">
        <v>27</v>
      </c>
      <c r="E5" s="13">
        <v>2</v>
      </c>
      <c r="F5" s="13">
        <v>25</v>
      </c>
      <c r="G5" s="13">
        <v>15</v>
      </c>
      <c r="H5" s="13"/>
      <c r="I5" s="12" t="b">
        <f>TRUE()</f>
        <v>1</v>
      </c>
    </row>
    <row r="6" spans="1:9" ht="15" customHeight="1" x14ac:dyDescent="0.25">
      <c r="A6" s="12" t="s">
        <v>34</v>
      </c>
      <c r="B6" s="12" t="s">
        <v>35</v>
      </c>
      <c r="C6" s="12" t="s">
        <v>26</v>
      </c>
      <c r="D6" s="12" t="s">
        <v>27</v>
      </c>
      <c r="E6" s="13">
        <v>4</v>
      </c>
      <c r="F6" s="13">
        <v>30</v>
      </c>
      <c r="G6" s="13">
        <v>10</v>
      </c>
      <c r="H6" s="13"/>
      <c r="I6" s="12" t="b">
        <f>TRUE()</f>
        <v>1</v>
      </c>
    </row>
    <row r="7" spans="1:9" ht="15" customHeight="1" x14ac:dyDescent="0.25">
      <c r="A7" s="12" t="s">
        <v>36</v>
      </c>
      <c r="B7" s="12" t="s">
        <v>37</v>
      </c>
      <c r="C7" s="12" t="s">
        <v>38</v>
      </c>
      <c r="D7" s="12" t="s">
        <v>27</v>
      </c>
      <c r="E7" s="13">
        <v>1</v>
      </c>
      <c r="F7" s="13">
        <v>30</v>
      </c>
      <c r="G7" s="13">
        <v>0</v>
      </c>
      <c r="H7" s="13"/>
      <c r="I7" s="12" t="b">
        <f>TRUE()</f>
        <v>1</v>
      </c>
    </row>
    <row r="8" spans="1:9" ht="15" customHeight="1" x14ac:dyDescent="0.25">
      <c r="A8" s="12" t="s">
        <v>39</v>
      </c>
      <c r="B8" s="12" t="s">
        <v>40</v>
      </c>
      <c r="C8" s="12" t="s">
        <v>38</v>
      </c>
      <c r="D8" s="12" t="s">
        <v>27</v>
      </c>
      <c r="E8" s="13">
        <v>1</v>
      </c>
      <c r="F8" s="13">
        <v>20</v>
      </c>
      <c r="G8" s="13">
        <v>0</v>
      </c>
      <c r="H8" s="13"/>
      <c r="I8" s="12" t="b">
        <f>TRUE()</f>
        <v>1</v>
      </c>
    </row>
    <row r="9" spans="1:9" ht="15" customHeight="1" x14ac:dyDescent="0.25">
      <c r="A9" s="12" t="s">
        <v>41</v>
      </c>
      <c r="B9" s="12" t="s">
        <v>42</v>
      </c>
      <c r="C9" s="12" t="s">
        <v>43</v>
      </c>
      <c r="D9" s="12" t="s">
        <v>27</v>
      </c>
      <c r="E9" s="13">
        <v>7</v>
      </c>
      <c r="F9" s="13">
        <v>100</v>
      </c>
      <c r="G9" s="13">
        <v>50</v>
      </c>
      <c r="H9" s="13"/>
      <c r="I9" s="12" t="b">
        <f>TRUE()</f>
        <v>1</v>
      </c>
    </row>
    <row r="10" spans="1:9" ht="15" customHeight="1" x14ac:dyDescent="0.25">
      <c r="A10" s="12" t="s">
        <v>44</v>
      </c>
      <c r="B10" s="12" t="s">
        <v>45</v>
      </c>
      <c r="C10" s="12" t="s">
        <v>43</v>
      </c>
      <c r="D10" s="12" t="s">
        <v>27</v>
      </c>
      <c r="E10" s="13">
        <v>7</v>
      </c>
      <c r="F10" s="13">
        <v>100</v>
      </c>
      <c r="G10" s="13">
        <v>30</v>
      </c>
      <c r="H10" s="13"/>
      <c r="I10" s="12" t="b">
        <f>TRUE()</f>
        <v>1</v>
      </c>
    </row>
    <row r="11" spans="1:9" ht="15" customHeight="1" x14ac:dyDescent="0.25">
      <c r="A11" s="12" t="s">
        <v>46</v>
      </c>
      <c r="B11" s="12" t="s">
        <v>47</v>
      </c>
      <c r="C11" s="12" t="s">
        <v>43</v>
      </c>
      <c r="D11" s="12" t="s">
        <v>27</v>
      </c>
      <c r="E11" s="13">
        <v>5</v>
      </c>
      <c r="F11" s="13">
        <v>80</v>
      </c>
      <c r="G11" s="13">
        <v>40</v>
      </c>
      <c r="H11" s="13"/>
      <c r="I11" s="12" t="b">
        <f>TRUE()</f>
        <v>1</v>
      </c>
    </row>
    <row r="12" spans="1:9" ht="15" customHeight="1" x14ac:dyDescent="0.25">
      <c r="A12" s="12" t="s">
        <v>48</v>
      </c>
      <c r="B12" s="12" t="s">
        <v>49</v>
      </c>
      <c r="C12" s="12" t="s">
        <v>43</v>
      </c>
      <c r="D12" s="12" t="s">
        <v>50</v>
      </c>
      <c r="E12" s="13">
        <v>10</v>
      </c>
      <c r="F12" s="13">
        <v>500</v>
      </c>
      <c r="G12" s="13">
        <v>200</v>
      </c>
      <c r="H12" s="13">
        <v>180</v>
      </c>
      <c r="I12" s="12" t="b">
        <f>TRUE()</f>
        <v>1</v>
      </c>
    </row>
    <row r="13" spans="1:9" ht="15" customHeight="1" x14ac:dyDescent="0.25">
      <c r="A13" s="12" t="s">
        <v>51</v>
      </c>
      <c r="B13" s="12" t="s">
        <v>52</v>
      </c>
      <c r="C13" s="12" t="s">
        <v>43</v>
      </c>
      <c r="D13" s="12" t="s">
        <v>53</v>
      </c>
      <c r="E13" s="13">
        <v>14</v>
      </c>
      <c r="F13" s="13">
        <v>20</v>
      </c>
      <c r="G13" s="13">
        <v>10</v>
      </c>
      <c r="H13" s="13"/>
      <c r="I13" s="12" t="b">
        <f>TRUE()</f>
        <v>1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2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12" customWidth="1"/>
    <col min="2" max="2" width="14" customWidth="1"/>
    <col min="3" max="3" width="22" customWidth="1"/>
    <col min="4" max="4" width="8" customWidth="1"/>
    <col min="5" max="5" width="14" customWidth="1"/>
    <col min="6" max="6" width="22" customWidth="1"/>
    <col min="7" max="7" width="10" customWidth="1"/>
    <col min="8" max="8" width="8" customWidth="1"/>
    <col min="9" max="9" width="10" customWidth="1"/>
    <col min="10" max="10" width="16" customWidth="1"/>
  </cols>
  <sheetData>
    <row r="1" spans="1:10" ht="15" customHeight="1" x14ac:dyDescent="0.25">
      <c r="A1" s="11" t="s">
        <v>54</v>
      </c>
      <c r="B1" s="11" t="s">
        <v>55</v>
      </c>
      <c r="C1" s="11" t="s">
        <v>56</v>
      </c>
      <c r="D1" s="11" t="s">
        <v>57</v>
      </c>
      <c r="E1" s="11" t="s">
        <v>58</v>
      </c>
      <c r="F1" s="11" t="s">
        <v>59</v>
      </c>
      <c r="G1" s="11" t="s">
        <v>60</v>
      </c>
      <c r="H1" s="11" t="s">
        <v>18</v>
      </c>
      <c r="I1" s="11" t="s">
        <v>61</v>
      </c>
      <c r="J1" s="11" t="s">
        <v>62</v>
      </c>
    </row>
    <row r="2" spans="1:10" ht="15" customHeight="1" x14ac:dyDescent="0.25">
      <c r="A2" s="12" t="s">
        <v>63</v>
      </c>
      <c r="B2" s="12" t="s">
        <v>24</v>
      </c>
      <c r="C2" s="12" t="s">
        <v>25</v>
      </c>
      <c r="D2" s="12">
        <v>1</v>
      </c>
      <c r="E2" s="12" t="s">
        <v>36</v>
      </c>
      <c r="F2" s="12" t="s">
        <v>37</v>
      </c>
      <c r="G2" s="13">
        <v>1.05</v>
      </c>
      <c r="H2" s="12" t="s">
        <v>27</v>
      </c>
      <c r="I2" s="13">
        <v>5</v>
      </c>
      <c r="J2" s="12" t="s">
        <v>64</v>
      </c>
    </row>
    <row r="3" spans="1:10" ht="15" customHeight="1" x14ac:dyDescent="0.25">
      <c r="A3" s="12" t="s">
        <v>65</v>
      </c>
      <c r="B3" s="12" t="s">
        <v>28</v>
      </c>
      <c r="C3" s="12" t="s">
        <v>29</v>
      </c>
      <c r="D3" s="12">
        <v>1</v>
      </c>
      <c r="E3" s="12" t="s">
        <v>36</v>
      </c>
      <c r="F3" s="12" t="s">
        <v>37</v>
      </c>
      <c r="G3" s="13">
        <v>1.05</v>
      </c>
      <c r="H3" s="12" t="s">
        <v>27</v>
      </c>
      <c r="I3" s="13">
        <v>5</v>
      </c>
      <c r="J3" s="12" t="s">
        <v>64</v>
      </c>
    </row>
    <row r="4" spans="1:10" ht="15" customHeight="1" x14ac:dyDescent="0.25">
      <c r="A4" s="12" t="s">
        <v>66</v>
      </c>
      <c r="B4" s="12" t="s">
        <v>30</v>
      </c>
      <c r="C4" s="12" t="s">
        <v>31</v>
      </c>
      <c r="D4" s="12">
        <v>1</v>
      </c>
      <c r="E4" s="12" t="s">
        <v>39</v>
      </c>
      <c r="F4" s="12" t="s">
        <v>40</v>
      </c>
      <c r="G4" s="13">
        <v>1.03</v>
      </c>
      <c r="H4" s="12" t="s">
        <v>27</v>
      </c>
      <c r="I4" s="13">
        <v>3</v>
      </c>
      <c r="J4" s="12" t="s">
        <v>64</v>
      </c>
    </row>
    <row r="5" spans="1:10" ht="15" customHeight="1" x14ac:dyDescent="0.25">
      <c r="A5" s="12" t="s">
        <v>67</v>
      </c>
      <c r="B5" s="12" t="s">
        <v>32</v>
      </c>
      <c r="C5" s="12" t="s">
        <v>33</v>
      </c>
      <c r="D5" s="12">
        <v>1</v>
      </c>
      <c r="E5" s="12" t="s">
        <v>39</v>
      </c>
      <c r="F5" s="12" t="s">
        <v>40</v>
      </c>
      <c r="G5" s="13">
        <v>1.03</v>
      </c>
      <c r="H5" s="12" t="s">
        <v>27</v>
      </c>
      <c r="I5" s="13">
        <v>3</v>
      </c>
      <c r="J5" s="12" t="s">
        <v>64</v>
      </c>
    </row>
    <row r="6" spans="1:10" ht="15" customHeight="1" x14ac:dyDescent="0.25">
      <c r="A6" s="12" t="s">
        <v>68</v>
      </c>
      <c r="B6" s="12" t="s">
        <v>34</v>
      </c>
      <c r="C6" s="12" t="s">
        <v>35</v>
      </c>
      <c r="D6" s="12">
        <v>1</v>
      </c>
      <c r="E6" s="12" t="s">
        <v>39</v>
      </c>
      <c r="F6" s="12" t="s">
        <v>40</v>
      </c>
      <c r="G6" s="13">
        <v>1.04</v>
      </c>
      <c r="H6" s="12" t="s">
        <v>27</v>
      </c>
      <c r="I6" s="13">
        <v>4</v>
      </c>
      <c r="J6" s="12" t="s">
        <v>64</v>
      </c>
    </row>
    <row r="7" spans="1:10" ht="15" customHeight="1" x14ac:dyDescent="0.25">
      <c r="A7" s="12" t="s">
        <v>69</v>
      </c>
      <c r="B7" s="12" t="s">
        <v>36</v>
      </c>
      <c r="C7" s="12" t="s">
        <v>37</v>
      </c>
      <c r="D7" s="12">
        <v>2</v>
      </c>
      <c r="E7" s="12" t="s">
        <v>41</v>
      </c>
      <c r="F7" s="12" t="s">
        <v>42</v>
      </c>
      <c r="G7" s="13">
        <v>0.6</v>
      </c>
      <c r="H7" s="12" t="s">
        <v>27</v>
      </c>
      <c r="I7" s="13">
        <v>2</v>
      </c>
      <c r="J7" s="12" t="s">
        <v>64</v>
      </c>
    </row>
    <row r="8" spans="1:10" ht="15" customHeight="1" x14ac:dyDescent="0.25">
      <c r="A8" s="12" t="s">
        <v>70</v>
      </c>
      <c r="B8" s="12" t="s">
        <v>36</v>
      </c>
      <c r="C8" s="12" t="s">
        <v>37</v>
      </c>
      <c r="D8" s="12">
        <v>2</v>
      </c>
      <c r="E8" s="12" t="s">
        <v>44</v>
      </c>
      <c r="F8" s="12" t="s">
        <v>45</v>
      </c>
      <c r="G8" s="13">
        <v>0.2</v>
      </c>
      <c r="H8" s="12" t="s">
        <v>27</v>
      </c>
      <c r="I8" s="13">
        <v>2</v>
      </c>
      <c r="J8" s="12" t="s">
        <v>64</v>
      </c>
    </row>
    <row r="9" spans="1:10" ht="15" customHeight="1" x14ac:dyDescent="0.25">
      <c r="A9" s="12" t="s">
        <v>71</v>
      </c>
      <c r="B9" s="12" t="s">
        <v>36</v>
      </c>
      <c r="C9" s="12" t="s">
        <v>37</v>
      </c>
      <c r="D9" s="12">
        <v>2</v>
      </c>
      <c r="E9" s="12" t="s">
        <v>46</v>
      </c>
      <c r="F9" s="12" t="s">
        <v>47</v>
      </c>
      <c r="G9" s="13">
        <v>0.25</v>
      </c>
      <c r="H9" s="12" t="s">
        <v>27</v>
      </c>
      <c r="I9" s="13">
        <v>2</v>
      </c>
      <c r="J9" s="12" t="s">
        <v>64</v>
      </c>
    </row>
    <row r="10" spans="1:10" ht="15" customHeight="1" x14ac:dyDescent="0.25">
      <c r="A10" s="12" t="s">
        <v>72</v>
      </c>
      <c r="B10" s="12" t="s">
        <v>36</v>
      </c>
      <c r="C10" s="12" t="s">
        <v>37</v>
      </c>
      <c r="D10" s="12">
        <v>2</v>
      </c>
      <c r="E10" s="12" t="s">
        <v>48</v>
      </c>
      <c r="F10" s="12" t="s">
        <v>49</v>
      </c>
      <c r="G10" s="13">
        <v>8</v>
      </c>
      <c r="H10" s="12" t="s">
        <v>50</v>
      </c>
      <c r="I10" s="13">
        <v>1</v>
      </c>
      <c r="J10" s="12" t="s">
        <v>64</v>
      </c>
    </row>
    <row r="11" spans="1:10" ht="15" customHeight="1" x14ac:dyDescent="0.25">
      <c r="A11" s="12" t="s">
        <v>73</v>
      </c>
      <c r="B11" s="12" t="s">
        <v>36</v>
      </c>
      <c r="C11" s="12" t="s">
        <v>37</v>
      </c>
      <c r="D11" s="12">
        <v>2</v>
      </c>
      <c r="E11" s="12" t="s">
        <v>51</v>
      </c>
      <c r="F11" s="12" t="s">
        <v>52</v>
      </c>
      <c r="G11" s="13">
        <v>2</v>
      </c>
      <c r="H11" s="12" t="s">
        <v>53</v>
      </c>
      <c r="I11" s="13">
        <v>0</v>
      </c>
      <c r="J11" s="12" t="s">
        <v>64</v>
      </c>
    </row>
    <row r="12" spans="1:10" ht="15" customHeight="1" x14ac:dyDescent="0.25">
      <c r="A12" s="12" t="s">
        <v>74</v>
      </c>
      <c r="B12" s="12" t="s">
        <v>39</v>
      </c>
      <c r="C12" s="12" t="s">
        <v>40</v>
      </c>
      <c r="D12" s="12">
        <v>2</v>
      </c>
      <c r="E12" s="12" t="s">
        <v>36</v>
      </c>
      <c r="F12" s="12" t="s">
        <v>37</v>
      </c>
      <c r="G12" s="13">
        <v>1.02</v>
      </c>
      <c r="H12" s="12" t="s">
        <v>27</v>
      </c>
      <c r="I12" s="13">
        <v>2</v>
      </c>
      <c r="J12" s="12" t="s">
        <v>64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13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14" customWidth="1"/>
    <col min="2" max="2" width="28" customWidth="1"/>
    <col min="3" max="3" width="18" customWidth="1"/>
    <col min="4" max="4" width="8" customWidth="1"/>
    <col min="5" max="5" width="14" customWidth="1"/>
    <col min="6" max="6" width="12" customWidth="1"/>
    <col min="7" max="7" width="16" customWidth="1"/>
    <col min="8" max="9" width="14" customWidth="1"/>
    <col min="10" max="10" width="16" customWidth="1"/>
  </cols>
  <sheetData>
    <row r="1" spans="1:10" ht="15" customHeight="1" x14ac:dyDescent="0.25">
      <c r="A1" s="11" t="s">
        <v>15</v>
      </c>
      <c r="B1" s="11" t="s">
        <v>16</v>
      </c>
      <c r="C1" s="11" t="s">
        <v>17</v>
      </c>
      <c r="D1" s="11" t="s">
        <v>18</v>
      </c>
      <c r="E1" s="11" t="s">
        <v>75</v>
      </c>
      <c r="F1" s="11" t="s">
        <v>76</v>
      </c>
      <c r="G1" s="11" t="s">
        <v>77</v>
      </c>
      <c r="H1" s="11" t="s">
        <v>78</v>
      </c>
      <c r="I1" s="11" t="s">
        <v>79</v>
      </c>
      <c r="J1" s="11" t="s">
        <v>80</v>
      </c>
    </row>
    <row r="2" spans="1:10" ht="15" customHeight="1" x14ac:dyDescent="0.25">
      <c r="A2" s="12" t="s">
        <v>24</v>
      </c>
      <c r="B2" s="12" t="s">
        <v>25</v>
      </c>
      <c r="C2" s="12" t="s">
        <v>26</v>
      </c>
      <c r="D2" s="12" t="s">
        <v>27</v>
      </c>
      <c r="E2" s="13">
        <v>120</v>
      </c>
      <c r="F2" s="13">
        <v>30</v>
      </c>
      <c r="G2" s="13">
        <v>0</v>
      </c>
      <c r="H2" s="13">
        <v>50</v>
      </c>
      <c r="I2" s="14">
        <f t="shared" ref="I2:I13" si="0">E2+F2+G2-H2</f>
        <v>100</v>
      </c>
      <c r="J2" s="12" t="s">
        <v>81</v>
      </c>
    </row>
    <row r="3" spans="1:10" ht="15" customHeight="1" x14ac:dyDescent="0.25">
      <c r="A3" s="12" t="s">
        <v>28</v>
      </c>
      <c r="B3" s="12" t="s">
        <v>29</v>
      </c>
      <c r="C3" s="12" t="s">
        <v>26</v>
      </c>
      <c r="D3" s="12" t="s">
        <v>27</v>
      </c>
      <c r="E3" s="13">
        <v>80</v>
      </c>
      <c r="F3" s="13">
        <v>20</v>
      </c>
      <c r="G3" s="13">
        <v>0</v>
      </c>
      <c r="H3" s="13">
        <v>30</v>
      </c>
      <c r="I3" s="14">
        <f t="shared" si="0"/>
        <v>70</v>
      </c>
      <c r="J3" s="12" t="s">
        <v>81</v>
      </c>
    </row>
    <row r="4" spans="1:10" ht="15" customHeight="1" x14ac:dyDescent="0.25">
      <c r="A4" s="12" t="s">
        <v>30</v>
      </c>
      <c r="B4" s="12" t="s">
        <v>31</v>
      </c>
      <c r="C4" s="12" t="s">
        <v>26</v>
      </c>
      <c r="D4" s="12" t="s">
        <v>27</v>
      </c>
      <c r="E4" s="13">
        <v>200</v>
      </c>
      <c r="F4" s="13">
        <v>50</v>
      </c>
      <c r="G4" s="13">
        <v>0</v>
      </c>
      <c r="H4" s="13">
        <v>80</v>
      </c>
      <c r="I4" s="14">
        <f t="shared" si="0"/>
        <v>170</v>
      </c>
      <c r="J4" s="12" t="s">
        <v>81</v>
      </c>
    </row>
    <row r="5" spans="1:10" ht="15" customHeight="1" x14ac:dyDescent="0.25">
      <c r="A5" s="12" t="s">
        <v>32</v>
      </c>
      <c r="B5" s="12" t="s">
        <v>33</v>
      </c>
      <c r="C5" s="12" t="s">
        <v>26</v>
      </c>
      <c r="D5" s="12" t="s">
        <v>27</v>
      </c>
      <c r="E5" s="13">
        <v>150</v>
      </c>
      <c r="F5" s="13">
        <v>40</v>
      </c>
      <c r="G5" s="13">
        <v>0</v>
      </c>
      <c r="H5" s="13">
        <v>60</v>
      </c>
      <c r="I5" s="14">
        <f t="shared" si="0"/>
        <v>130</v>
      </c>
      <c r="J5" s="12" t="s">
        <v>81</v>
      </c>
    </row>
    <row r="6" spans="1:10" ht="15" customHeight="1" x14ac:dyDescent="0.25">
      <c r="A6" s="12" t="s">
        <v>34</v>
      </c>
      <c r="B6" s="12" t="s">
        <v>35</v>
      </c>
      <c r="C6" s="12" t="s">
        <v>26</v>
      </c>
      <c r="D6" s="12" t="s">
        <v>27</v>
      </c>
      <c r="E6" s="13">
        <v>60</v>
      </c>
      <c r="F6" s="13">
        <v>10</v>
      </c>
      <c r="G6" s="13">
        <v>0</v>
      </c>
      <c r="H6" s="13">
        <v>20</v>
      </c>
      <c r="I6" s="14">
        <f t="shared" si="0"/>
        <v>50</v>
      </c>
      <c r="J6" s="12" t="s">
        <v>81</v>
      </c>
    </row>
    <row r="7" spans="1:10" ht="15" customHeight="1" x14ac:dyDescent="0.25">
      <c r="A7" s="12" t="s">
        <v>36</v>
      </c>
      <c r="B7" s="12" t="s">
        <v>37</v>
      </c>
      <c r="C7" s="12" t="s">
        <v>38</v>
      </c>
      <c r="D7" s="12" t="s">
        <v>27</v>
      </c>
      <c r="E7" s="13">
        <v>0</v>
      </c>
      <c r="F7" s="13">
        <v>45</v>
      </c>
      <c r="G7" s="13">
        <v>0</v>
      </c>
      <c r="H7" s="13">
        <v>0</v>
      </c>
      <c r="I7" s="14">
        <f t="shared" si="0"/>
        <v>45</v>
      </c>
      <c r="J7" s="12" t="s">
        <v>81</v>
      </c>
    </row>
    <row r="8" spans="1:10" ht="15" customHeight="1" x14ac:dyDescent="0.25">
      <c r="A8" s="12" t="s">
        <v>39</v>
      </c>
      <c r="B8" s="12" t="s">
        <v>40</v>
      </c>
      <c r="C8" s="12" t="s">
        <v>38</v>
      </c>
      <c r="D8" s="12" t="s">
        <v>27</v>
      </c>
      <c r="E8" s="13">
        <v>0</v>
      </c>
      <c r="F8" s="13">
        <v>30</v>
      </c>
      <c r="G8" s="13">
        <v>0</v>
      </c>
      <c r="H8" s="13">
        <v>0</v>
      </c>
      <c r="I8" s="14">
        <f t="shared" si="0"/>
        <v>30</v>
      </c>
      <c r="J8" s="12" t="s">
        <v>81</v>
      </c>
    </row>
    <row r="9" spans="1:10" ht="15" customHeight="1" x14ac:dyDescent="0.25">
      <c r="A9" s="12" t="s">
        <v>41</v>
      </c>
      <c r="B9" s="12" t="s">
        <v>42</v>
      </c>
      <c r="C9" s="12" t="s">
        <v>43</v>
      </c>
      <c r="D9" s="12" t="s">
        <v>27</v>
      </c>
      <c r="E9" s="13">
        <v>850</v>
      </c>
      <c r="F9" s="13">
        <v>0</v>
      </c>
      <c r="G9" s="13">
        <v>200</v>
      </c>
      <c r="H9" s="13">
        <v>0</v>
      </c>
      <c r="I9" s="14">
        <f t="shared" si="0"/>
        <v>1050</v>
      </c>
      <c r="J9" s="12" t="s">
        <v>81</v>
      </c>
    </row>
    <row r="10" spans="1:10" ht="15" customHeight="1" x14ac:dyDescent="0.25">
      <c r="A10" s="12" t="s">
        <v>44</v>
      </c>
      <c r="B10" s="12" t="s">
        <v>45</v>
      </c>
      <c r="C10" s="12" t="s">
        <v>43</v>
      </c>
      <c r="D10" s="12" t="s">
        <v>27</v>
      </c>
      <c r="E10" s="13">
        <v>320</v>
      </c>
      <c r="F10" s="13">
        <v>0</v>
      </c>
      <c r="G10" s="13">
        <v>100</v>
      </c>
      <c r="H10" s="13">
        <v>0</v>
      </c>
      <c r="I10" s="14">
        <f t="shared" si="0"/>
        <v>420</v>
      </c>
      <c r="J10" s="12" t="s">
        <v>81</v>
      </c>
    </row>
    <row r="11" spans="1:10" ht="15" customHeight="1" x14ac:dyDescent="0.25">
      <c r="A11" s="12" t="s">
        <v>46</v>
      </c>
      <c r="B11" s="12" t="s">
        <v>47</v>
      </c>
      <c r="C11" s="12" t="s">
        <v>43</v>
      </c>
      <c r="D11" s="12" t="s">
        <v>27</v>
      </c>
      <c r="E11" s="13">
        <v>450</v>
      </c>
      <c r="F11" s="13">
        <v>0</v>
      </c>
      <c r="G11" s="13">
        <v>150</v>
      </c>
      <c r="H11" s="13">
        <v>0</v>
      </c>
      <c r="I11" s="14">
        <f t="shared" si="0"/>
        <v>600</v>
      </c>
      <c r="J11" s="12" t="s">
        <v>81</v>
      </c>
    </row>
    <row r="12" spans="1:10" ht="15" customHeight="1" x14ac:dyDescent="0.25">
      <c r="A12" s="12" t="s">
        <v>48</v>
      </c>
      <c r="B12" s="12" t="s">
        <v>49</v>
      </c>
      <c r="C12" s="12" t="s">
        <v>43</v>
      </c>
      <c r="D12" s="12" t="s">
        <v>50</v>
      </c>
      <c r="E12" s="13">
        <v>1200</v>
      </c>
      <c r="F12" s="13">
        <v>0</v>
      </c>
      <c r="G12" s="13">
        <v>0</v>
      </c>
      <c r="H12" s="13">
        <v>200</v>
      </c>
      <c r="I12" s="14">
        <f t="shared" si="0"/>
        <v>1000</v>
      </c>
      <c r="J12" s="12" t="s">
        <v>81</v>
      </c>
    </row>
    <row r="13" spans="1:10" ht="15" customHeight="1" x14ac:dyDescent="0.25">
      <c r="A13" s="12" t="s">
        <v>51</v>
      </c>
      <c r="B13" s="12" t="s">
        <v>52</v>
      </c>
      <c r="C13" s="12" t="s">
        <v>43</v>
      </c>
      <c r="D13" s="12" t="s">
        <v>53</v>
      </c>
      <c r="E13" s="13">
        <v>80</v>
      </c>
      <c r="F13" s="13">
        <v>0</v>
      </c>
      <c r="G13" s="13">
        <v>0</v>
      </c>
      <c r="H13" s="13">
        <v>10</v>
      </c>
      <c r="I13" s="14">
        <f t="shared" si="0"/>
        <v>70</v>
      </c>
      <c r="J13" s="12" t="s">
        <v>81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21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12" customWidth="1"/>
    <col min="2" max="2" width="22" customWidth="1"/>
    <col min="3" max="4" width="14" customWidth="1"/>
    <col min="5" max="5" width="22" customWidth="1"/>
    <col min="6" max="6" width="12" customWidth="1"/>
    <col min="7" max="7" width="8" customWidth="1"/>
    <col min="8" max="9" width="14" customWidth="1"/>
    <col min="10" max="10" width="10" customWidth="1"/>
    <col min="11" max="11" width="12" customWidth="1"/>
  </cols>
  <sheetData>
    <row r="1" spans="1:11" ht="15" customHeight="1" x14ac:dyDescent="0.25">
      <c r="A1" s="11" t="s">
        <v>82</v>
      </c>
      <c r="B1" s="11" t="s">
        <v>83</v>
      </c>
      <c r="C1" s="11" t="s">
        <v>84</v>
      </c>
      <c r="D1" s="11" t="s">
        <v>15</v>
      </c>
      <c r="E1" s="11" t="s">
        <v>16</v>
      </c>
      <c r="F1" s="11" t="s">
        <v>85</v>
      </c>
      <c r="G1" s="11" t="s">
        <v>18</v>
      </c>
      <c r="H1" s="11" t="s">
        <v>86</v>
      </c>
      <c r="I1" s="11" t="s">
        <v>87</v>
      </c>
      <c r="J1" s="11" t="s">
        <v>88</v>
      </c>
      <c r="K1" s="11" t="s">
        <v>89</v>
      </c>
    </row>
    <row r="2" spans="1:11" ht="15" customHeight="1" x14ac:dyDescent="0.25">
      <c r="A2" s="12" t="s">
        <v>90</v>
      </c>
      <c r="B2" s="12" t="s">
        <v>91</v>
      </c>
      <c r="C2" s="12" t="s">
        <v>92</v>
      </c>
      <c r="D2" s="12" t="s">
        <v>24</v>
      </c>
      <c r="E2" s="12" t="s">
        <v>25</v>
      </c>
      <c r="F2" s="13">
        <v>50</v>
      </c>
      <c r="G2" s="12" t="s">
        <v>27</v>
      </c>
      <c r="H2" s="12" t="s">
        <v>93</v>
      </c>
      <c r="I2" s="12" t="s">
        <v>94</v>
      </c>
      <c r="J2" s="12" t="s">
        <v>95</v>
      </c>
      <c r="K2" s="12" t="s">
        <v>96</v>
      </c>
    </row>
    <row r="3" spans="1:11" ht="15" customHeight="1" x14ac:dyDescent="0.25">
      <c r="A3" s="12" t="s">
        <v>97</v>
      </c>
      <c r="B3" s="12" t="s">
        <v>98</v>
      </c>
      <c r="C3" s="12" t="s">
        <v>99</v>
      </c>
      <c r="D3" s="12" t="s">
        <v>24</v>
      </c>
      <c r="E3" s="12" t="s">
        <v>25</v>
      </c>
      <c r="F3" s="13">
        <v>80</v>
      </c>
      <c r="G3" s="12" t="s">
        <v>27</v>
      </c>
      <c r="H3" s="12" t="s">
        <v>93</v>
      </c>
      <c r="I3" s="12" t="s">
        <v>100</v>
      </c>
      <c r="J3" s="12" t="s">
        <v>95</v>
      </c>
      <c r="K3" s="12" t="s">
        <v>96</v>
      </c>
    </row>
    <row r="4" spans="1:11" ht="15" customHeight="1" x14ac:dyDescent="0.25">
      <c r="A4" s="12" t="s">
        <v>101</v>
      </c>
      <c r="B4" s="12" t="s">
        <v>91</v>
      </c>
      <c r="C4" s="12" t="s">
        <v>92</v>
      </c>
      <c r="D4" s="12" t="s">
        <v>24</v>
      </c>
      <c r="E4" s="12" t="s">
        <v>25</v>
      </c>
      <c r="F4" s="13">
        <v>100</v>
      </c>
      <c r="G4" s="12" t="s">
        <v>27</v>
      </c>
      <c r="H4" s="12" t="s">
        <v>102</v>
      </c>
      <c r="I4" s="12" t="s">
        <v>103</v>
      </c>
      <c r="J4" s="12" t="s">
        <v>104</v>
      </c>
      <c r="K4" s="12" t="s">
        <v>96</v>
      </c>
    </row>
    <row r="5" spans="1:11" ht="15" customHeight="1" x14ac:dyDescent="0.25">
      <c r="A5" s="12" t="s">
        <v>105</v>
      </c>
      <c r="B5" s="12" t="s">
        <v>91</v>
      </c>
      <c r="C5" s="12" t="s">
        <v>92</v>
      </c>
      <c r="D5" s="12" t="s">
        <v>34</v>
      </c>
      <c r="E5" s="12" t="s">
        <v>35</v>
      </c>
      <c r="F5" s="13">
        <v>50</v>
      </c>
      <c r="G5" s="12" t="s">
        <v>27</v>
      </c>
      <c r="H5" s="12" t="s">
        <v>102</v>
      </c>
      <c r="I5" s="12" t="s">
        <v>106</v>
      </c>
      <c r="J5" s="12" t="s">
        <v>107</v>
      </c>
      <c r="K5" s="12" t="s">
        <v>96</v>
      </c>
    </row>
    <row r="6" spans="1:11" ht="15" customHeight="1" x14ac:dyDescent="0.25">
      <c r="A6" s="12" t="s">
        <v>108</v>
      </c>
      <c r="B6" s="12" t="s">
        <v>109</v>
      </c>
      <c r="C6" s="12" t="s">
        <v>110</v>
      </c>
      <c r="D6" s="12" t="s">
        <v>30</v>
      </c>
      <c r="E6" s="12" t="s">
        <v>31</v>
      </c>
      <c r="F6" s="13">
        <v>80</v>
      </c>
      <c r="G6" s="12" t="s">
        <v>27</v>
      </c>
      <c r="H6" s="12" t="s">
        <v>81</v>
      </c>
      <c r="I6" s="12" t="s">
        <v>111</v>
      </c>
      <c r="J6" s="12" t="s">
        <v>107</v>
      </c>
      <c r="K6" s="12" t="s">
        <v>96</v>
      </c>
    </row>
    <row r="7" spans="1:11" ht="15" customHeight="1" x14ac:dyDescent="0.25">
      <c r="A7" s="12" t="s">
        <v>112</v>
      </c>
      <c r="B7" s="12" t="s">
        <v>113</v>
      </c>
      <c r="C7" s="12" t="s">
        <v>114</v>
      </c>
      <c r="D7" s="12" t="s">
        <v>28</v>
      </c>
      <c r="E7" s="12" t="s">
        <v>29</v>
      </c>
      <c r="F7" s="13">
        <v>30</v>
      </c>
      <c r="G7" s="12" t="s">
        <v>27</v>
      </c>
      <c r="H7" s="12" t="s">
        <v>102</v>
      </c>
      <c r="I7" s="12" t="s">
        <v>115</v>
      </c>
      <c r="J7" s="12" t="s">
        <v>95</v>
      </c>
      <c r="K7" s="12" t="s">
        <v>96</v>
      </c>
    </row>
    <row r="8" spans="1:11" ht="15" customHeight="1" x14ac:dyDescent="0.25">
      <c r="A8" s="12" t="s">
        <v>116</v>
      </c>
      <c r="B8" s="12" t="s">
        <v>117</v>
      </c>
      <c r="C8" s="12" t="s">
        <v>118</v>
      </c>
      <c r="D8" s="12" t="s">
        <v>24</v>
      </c>
      <c r="E8" s="12" t="s">
        <v>25</v>
      </c>
      <c r="F8" s="13">
        <v>60</v>
      </c>
      <c r="G8" s="12" t="s">
        <v>27</v>
      </c>
      <c r="H8" s="12" t="s">
        <v>119</v>
      </c>
      <c r="I8" s="12" t="s">
        <v>94</v>
      </c>
      <c r="J8" s="12" t="s">
        <v>95</v>
      </c>
      <c r="K8" s="12" t="s">
        <v>96</v>
      </c>
    </row>
    <row r="9" spans="1:11" ht="15" customHeight="1" x14ac:dyDescent="0.25">
      <c r="A9" s="12" t="s">
        <v>120</v>
      </c>
      <c r="B9" s="12" t="s">
        <v>117</v>
      </c>
      <c r="C9" s="12" t="s">
        <v>118</v>
      </c>
      <c r="D9" s="12" t="s">
        <v>34</v>
      </c>
      <c r="E9" s="12" t="s">
        <v>35</v>
      </c>
      <c r="F9" s="13">
        <v>30</v>
      </c>
      <c r="G9" s="12" t="s">
        <v>27</v>
      </c>
      <c r="H9" s="12" t="s">
        <v>81</v>
      </c>
      <c r="I9" s="12" t="s">
        <v>121</v>
      </c>
      <c r="J9" s="12" t="s">
        <v>104</v>
      </c>
      <c r="K9" s="12" t="s">
        <v>96</v>
      </c>
    </row>
    <row r="10" spans="1:11" ht="15" customHeight="1" x14ac:dyDescent="0.25">
      <c r="A10" s="12" t="s">
        <v>122</v>
      </c>
      <c r="B10" s="12" t="s">
        <v>113</v>
      </c>
      <c r="C10" s="12" t="s">
        <v>114</v>
      </c>
      <c r="D10" s="12" t="s">
        <v>34</v>
      </c>
      <c r="E10" s="12" t="s">
        <v>35</v>
      </c>
      <c r="F10" s="13">
        <v>30</v>
      </c>
      <c r="G10" s="12" t="s">
        <v>27</v>
      </c>
      <c r="H10" s="12" t="s">
        <v>119</v>
      </c>
      <c r="I10" s="12" t="s">
        <v>103</v>
      </c>
      <c r="J10" s="12" t="s">
        <v>95</v>
      </c>
      <c r="K10" s="12" t="s">
        <v>96</v>
      </c>
    </row>
    <row r="11" spans="1:11" ht="15" customHeight="1" x14ac:dyDescent="0.25">
      <c r="A11" s="12" t="s">
        <v>123</v>
      </c>
      <c r="B11" s="12" t="s">
        <v>98</v>
      </c>
      <c r="C11" s="12" t="s">
        <v>99</v>
      </c>
      <c r="D11" s="12" t="s">
        <v>30</v>
      </c>
      <c r="E11" s="12" t="s">
        <v>31</v>
      </c>
      <c r="F11" s="13">
        <v>30</v>
      </c>
      <c r="G11" s="12" t="s">
        <v>27</v>
      </c>
      <c r="H11" s="12" t="s">
        <v>81</v>
      </c>
      <c r="I11" s="12" t="s">
        <v>100</v>
      </c>
      <c r="J11" s="12" t="s">
        <v>107</v>
      </c>
      <c r="K11" s="12" t="s">
        <v>96</v>
      </c>
    </row>
    <row r="12" spans="1:11" ht="15" customHeight="1" x14ac:dyDescent="0.25">
      <c r="A12" s="12" t="s">
        <v>124</v>
      </c>
      <c r="B12" s="12" t="s">
        <v>113</v>
      </c>
      <c r="C12" s="12" t="s">
        <v>114</v>
      </c>
      <c r="D12" s="12" t="s">
        <v>32</v>
      </c>
      <c r="E12" s="12" t="s">
        <v>33</v>
      </c>
      <c r="F12" s="13">
        <v>40</v>
      </c>
      <c r="G12" s="12" t="s">
        <v>27</v>
      </c>
      <c r="H12" s="12" t="s">
        <v>93</v>
      </c>
      <c r="I12" s="12" t="s">
        <v>125</v>
      </c>
      <c r="J12" s="12" t="s">
        <v>107</v>
      </c>
      <c r="K12" s="12" t="s">
        <v>96</v>
      </c>
    </row>
    <row r="13" spans="1:11" ht="15" customHeight="1" x14ac:dyDescent="0.25">
      <c r="A13" s="12" t="s">
        <v>126</v>
      </c>
      <c r="B13" s="12" t="s">
        <v>113</v>
      </c>
      <c r="C13" s="12" t="s">
        <v>114</v>
      </c>
      <c r="D13" s="12" t="s">
        <v>28</v>
      </c>
      <c r="E13" s="12" t="s">
        <v>29</v>
      </c>
      <c r="F13" s="13">
        <v>30</v>
      </c>
      <c r="G13" s="12" t="s">
        <v>27</v>
      </c>
      <c r="H13" s="12" t="s">
        <v>93</v>
      </c>
      <c r="I13" s="12" t="s">
        <v>94</v>
      </c>
      <c r="J13" s="12" t="s">
        <v>104</v>
      </c>
      <c r="K13" s="12" t="s">
        <v>96</v>
      </c>
    </row>
    <row r="14" spans="1:11" ht="15" customHeight="1" x14ac:dyDescent="0.25">
      <c r="A14" s="12" t="s">
        <v>127</v>
      </c>
      <c r="B14" s="12" t="s">
        <v>98</v>
      </c>
      <c r="C14" s="12" t="s">
        <v>99</v>
      </c>
      <c r="D14" s="12" t="s">
        <v>34</v>
      </c>
      <c r="E14" s="12" t="s">
        <v>35</v>
      </c>
      <c r="F14" s="13">
        <v>40</v>
      </c>
      <c r="G14" s="12" t="s">
        <v>27</v>
      </c>
      <c r="H14" s="12" t="s">
        <v>93</v>
      </c>
      <c r="I14" s="12" t="s">
        <v>121</v>
      </c>
      <c r="J14" s="12" t="s">
        <v>107</v>
      </c>
      <c r="K14" s="12" t="s">
        <v>96</v>
      </c>
    </row>
    <row r="15" spans="1:11" ht="15" customHeight="1" x14ac:dyDescent="0.25">
      <c r="A15" s="12" t="s">
        <v>128</v>
      </c>
      <c r="B15" s="12" t="s">
        <v>117</v>
      </c>
      <c r="C15" s="12" t="s">
        <v>118</v>
      </c>
      <c r="D15" s="12" t="s">
        <v>30</v>
      </c>
      <c r="E15" s="12" t="s">
        <v>31</v>
      </c>
      <c r="F15" s="13">
        <v>70</v>
      </c>
      <c r="G15" s="12" t="s">
        <v>27</v>
      </c>
      <c r="H15" s="12" t="s">
        <v>93</v>
      </c>
      <c r="I15" s="12" t="s">
        <v>121</v>
      </c>
      <c r="J15" s="12" t="s">
        <v>95</v>
      </c>
      <c r="K15" s="12" t="s">
        <v>96</v>
      </c>
    </row>
    <row r="16" spans="1:11" ht="15" customHeight="1" x14ac:dyDescent="0.25">
      <c r="A16" s="12" t="s">
        <v>129</v>
      </c>
      <c r="B16" s="12" t="s">
        <v>98</v>
      </c>
      <c r="C16" s="12" t="s">
        <v>99</v>
      </c>
      <c r="D16" s="12" t="s">
        <v>24</v>
      </c>
      <c r="E16" s="12" t="s">
        <v>25</v>
      </c>
      <c r="F16" s="13">
        <v>60</v>
      </c>
      <c r="G16" s="12" t="s">
        <v>27</v>
      </c>
      <c r="H16" s="12" t="s">
        <v>119</v>
      </c>
      <c r="I16" s="12" t="s">
        <v>106</v>
      </c>
      <c r="J16" s="12" t="s">
        <v>95</v>
      </c>
      <c r="K16" s="12" t="s">
        <v>96</v>
      </c>
    </row>
    <row r="17" spans="1:11" ht="15" customHeight="1" x14ac:dyDescent="0.25">
      <c r="A17" s="12" t="s">
        <v>130</v>
      </c>
      <c r="B17" s="12" t="s">
        <v>98</v>
      </c>
      <c r="C17" s="12" t="s">
        <v>99</v>
      </c>
      <c r="D17" s="12" t="s">
        <v>34</v>
      </c>
      <c r="E17" s="12" t="s">
        <v>35</v>
      </c>
      <c r="F17" s="13">
        <v>50</v>
      </c>
      <c r="G17" s="12" t="s">
        <v>27</v>
      </c>
      <c r="H17" s="12" t="s">
        <v>93</v>
      </c>
      <c r="I17" s="12" t="s">
        <v>131</v>
      </c>
      <c r="J17" s="12" t="s">
        <v>104</v>
      </c>
      <c r="K17" s="12" t="s">
        <v>96</v>
      </c>
    </row>
    <row r="18" spans="1:11" ht="15" customHeight="1" x14ac:dyDescent="0.25">
      <c r="A18" s="12" t="s">
        <v>132</v>
      </c>
      <c r="B18" s="12" t="s">
        <v>117</v>
      </c>
      <c r="C18" s="12" t="s">
        <v>118</v>
      </c>
      <c r="D18" s="12" t="s">
        <v>32</v>
      </c>
      <c r="E18" s="12" t="s">
        <v>33</v>
      </c>
      <c r="F18" s="13">
        <v>40</v>
      </c>
      <c r="G18" s="12" t="s">
        <v>27</v>
      </c>
      <c r="H18" s="12" t="s">
        <v>93</v>
      </c>
      <c r="I18" s="12" t="s">
        <v>133</v>
      </c>
      <c r="J18" s="12" t="s">
        <v>107</v>
      </c>
      <c r="K18" s="12" t="s">
        <v>96</v>
      </c>
    </row>
    <row r="19" spans="1:11" ht="15" customHeight="1" x14ac:dyDescent="0.25">
      <c r="A19" s="12" t="s">
        <v>134</v>
      </c>
      <c r="B19" s="12" t="s">
        <v>98</v>
      </c>
      <c r="C19" s="12" t="s">
        <v>99</v>
      </c>
      <c r="D19" s="12" t="s">
        <v>28</v>
      </c>
      <c r="E19" s="12" t="s">
        <v>29</v>
      </c>
      <c r="F19" s="13">
        <v>80</v>
      </c>
      <c r="G19" s="12" t="s">
        <v>27</v>
      </c>
      <c r="H19" s="12" t="s">
        <v>93</v>
      </c>
      <c r="I19" s="12" t="s">
        <v>94</v>
      </c>
      <c r="J19" s="12" t="s">
        <v>104</v>
      </c>
      <c r="K19" s="12" t="s">
        <v>96</v>
      </c>
    </row>
    <row r="20" spans="1:11" ht="15" customHeight="1" x14ac:dyDescent="0.25">
      <c r="A20" s="12" t="s">
        <v>135</v>
      </c>
      <c r="B20" s="12" t="s">
        <v>117</v>
      </c>
      <c r="C20" s="12" t="s">
        <v>118</v>
      </c>
      <c r="D20" s="12" t="s">
        <v>30</v>
      </c>
      <c r="E20" s="12" t="s">
        <v>31</v>
      </c>
      <c r="F20" s="13">
        <v>100</v>
      </c>
      <c r="G20" s="12" t="s">
        <v>27</v>
      </c>
      <c r="H20" s="12" t="s">
        <v>102</v>
      </c>
      <c r="I20" s="12" t="s">
        <v>111</v>
      </c>
      <c r="J20" s="12" t="s">
        <v>107</v>
      </c>
      <c r="K20" s="12" t="s">
        <v>96</v>
      </c>
    </row>
    <row r="21" spans="1:11" ht="15" customHeight="1" x14ac:dyDescent="0.25">
      <c r="A21" s="12" t="s">
        <v>136</v>
      </c>
      <c r="B21" s="12" t="s">
        <v>91</v>
      </c>
      <c r="C21" s="12" t="s">
        <v>92</v>
      </c>
      <c r="D21" s="12" t="s">
        <v>24</v>
      </c>
      <c r="E21" s="12" t="s">
        <v>25</v>
      </c>
      <c r="F21" s="13">
        <v>40</v>
      </c>
      <c r="G21" s="12" t="s">
        <v>27</v>
      </c>
      <c r="H21" s="12" t="s">
        <v>81</v>
      </c>
      <c r="I21" s="12" t="s">
        <v>137</v>
      </c>
      <c r="J21" s="12" t="s">
        <v>104</v>
      </c>
      <c r="K21" s="12" t="s">
        <v>96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8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14" customWidth="1"/>
    <col min="2" max="2" width="24" customWidth="1"/>
    <col min="3" max="3" width="18" customWidth="1"/>
    <col min="4" max="4" width="16" customWidth="1"/>
    <col min="5" max="6" width="18" customWidth="1"/>
    <col min="7" max="7" width="16" customWidth="1"/>
    <col min="8" max="8" width="22" customWidth="1"/>
    <col min="9" max="9" width="10" customWidth="1"/>
  </cols>
  <sheetData>
    <row r="1" spans="1:9" ht="15" customHeight="1" x14ac:dyDescent="0.25">
      <c r="A1" s="11" t="s">
        <v>138</v>
      </c>
      <c r="B1" s="11" t="s">
        <v>139</v>
      </c>
      <c r="C1" s="11" t="s">
        <v>140</v>
      </c>
      <c r="D1" s="11" t="s">
        <v>141</v>
      </c>
      <c r="E1" s="11" t="s">
        <v>142</v>
      </c>
      <c r="F1" s="11" t="s">
        <v>143</v>
      </c>
      <c r="G1" s="11" t="s">
        <v>144</v>
      </c>
      <c r="H1" s="11" t="s">
        <v>145</v>
      </c>
      <c r="I1" s="11" t="s">
        <v>23</v>
      </c>
    </row>
    <row r="2" spans="1:9" ht="15" customHeight="1" x14ac:dyDescent="0.25">
      <c r="A2" s="12" t="s">
        <v>146</v>
      </c>
      <c r="B2" s="12" t="s">
        <v>147</v>
      </c>
      <c r="C2" s="12" t="s">
        <v>148</v>
      </c>
      <c r="D2" s="13">
        <v>3</v>
      </c>
      <c r="E2" s="13">
        <v>8</v>
      </c>
      <c r="F2" s="15">
        <f t="shared" ref="F2:F8" si="0">D2*E2</f>
        <v>24</v>
      </c>
      <c r="G2" s="13">
        <v>45</v>
      </c>
      <c r="H2" s="12" t="s">
        <v>149</v>
      </c>
      <c r="I2" s="12" t="b">
        <f>TRUE()</f>
        <v>1</v>
      </c>
    </row>
    <row r="3" spans="1:9" ht="15" customHeight="1" x14ac:dyDescent="0.25">
      <c r="A3" s="12" t="s">
        <v>150</v>
      </c>
      <c r="B3" s="12" t="s">
        <v>151</v>
      </c>
      <c r="C3" s="12" t="s">
        <v>148</v>
      </c>
      <c r="D3" s="13">
        <v>3</v>
      </c>
      <c r="E3" s="13">
        <v>8</v>
      </c>
      <c r="F3" s="15">
        <f t="shared" si="0"/>
        <v>24</v>
      </c>
      <c r="G3" s="13">
        <v>45</v>
      </c>
      <c r="H3" s="12" t="s">
        <v>152</v>
      </c>
      <c r="I3" s="12" t="b">
        <f>TRUE()</f>
        <v>1</v>
      </c>
    </row>
    <row r="4" spans="1:9" ht="15" customHeight="1" x14ac:dyDescent="0.25">
      <c r="A4" s="12" t="s">
        <v>153</v>
      </c>
      <c r="B4" s="12" t="s">
        <v>154</v>
      </c>
      <c r="C4" s="12" t="s">
        <v>155</v>
      </c>
      <c r="D4" s="13">
        <v>3</v>
      </c>
      <c r="E4" s="13">
        <v>8</v>
      </c>
      <c r="F4" s="15">
        <f t="shared" si="0"/>
        <v>24</v>
      </c>
      <c r="G4" s="13">
        <v>30</v>
      </c>
      <c r="H4" s="12" t="s">
        <v>156</v>
      </c>
      <c r="I4" s="12" t="b">
        <f>TRUE()</f>
        <v>1</v>
      </c>
    </row>
    <row r="5" spans="1:9" ht="15" customHeight="1" x14ac:dyDescent="0.25">
      <c r="A5" s="12" t="s">
        <v>157</v>
      </c>
      <c r="B5" s="12" t="s">
        <v>158</v>
      </c>
      <c r="C5" s="12" t="s">
        <v>155</v>
      </c>
      <c r="D5" s="13">
        <v>3</v>
      </c>
      <c r="E5" s="13">
        <v>8</v>
      </c>
      <c r="F5" s="15">
        <f t="shared" si="0"/>
        <v>24</v>
      </c>
      <c r="G5" s="13">
        <v>30</v>
      </c>
      <c r="H5" s="12" t="s">
        <v>159</v>
      </c>
      <c r="I5" s="12" t="b">
        <f>TRUE()</f>
        <v>1</v>
      </c>
    </row>
    <row r="6" spans="1:9" ht="15" customHeight="1" x14ac:dyDescent="0.25">
      <c r="A6" s="12" t="s">
        <v>160</v>
      </c>
      <c r="B6" s="12" t="s">
        <v>161</v>
      </c>
      <c r="C6" s="12" t="s">
        <v>162</v>
      </c>
      <c r="D6" s="13">
        <v>2</v>
      </c>
      <c r="E6" s="13">
        <v>8</v>
      </c>
      <c r="F6" s="15">
        <f t="shared" si="0"/>
        <v>16</v>
      </c>
      <c r="G6" s="13">
        <v>60</v>
      </c>
      <c r="H6" s="12" t="s">
        <v>163</v>
      </c>
      <c r="I6" s="12" t="b">
        <f>TRUE()</f>
        <v>1</v>
      </c>
    </row>
    <row r="7" spans="1:9" ht="15" customHeight="1" x14ac:dyDescent="0.25">
      <c r="A7" s="12" t="s">
        <v>164</v>
      </c>
      <c r="B7" s="12" t="s">
        <v>165</v>
      </c>
      <c r="C7" s="12" t="s">
        <v>162</v>
      </c>
      <c r="D7" s="13">
        <v>2</v>
      </c>
      <c r="E7" s="13">
        <v>8</v>
      </c>
      <c r="F7" s="15">
        <f t="shared" si="0"/>
        <v>16</v>
      </c>
      <c r="G7" s="13">
        <v>60</v>
      </c>
      <c r="H7" s="12" t="s">
        <v>163</v>
      </c>
      <c r="I7" s="12" t="b">
        <f>TRUE()</f>
        <v>1</v>
      </c>
    </row>
    <row r="8" spans="1:9" ht="15" customHeight="1" x14ac:dyDescent="0.25">
      <c r="A8" s="12" t="s">
        <v>166</v>
      </c>
      <c r="B8" s="12" t="s">
        <v>167</v>
      </c>
      <c r="C8" s="12" t="s">
        <v>162</v>
      </c>
      <c r="D8" s="13">
        <v>2</v>
      </c>
      <c r="E8" s="13">
        <v>8</v>
      </c>
      <c r="F8" s="15">
        <f t="shared" si="0"/>
        <v>16</v>
      </c>
      <c r="G8" s="13">
        <v>90</v>
      </c>
      <c r="H8" s="12" t="s">
        <v>168</v>
      </c>
      <c r="I8" s="12" t="b">
        <f>TRUE()</f>
        <v>1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4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2" width="14" customWidth="1"/>
    <col min="3" max="3" width="22" customWidth="1"/>
    <col min="4" max="4" width="14" customWidth="1"/>
    <col min="5" max="5" width="18" customWidth="1"/>
    <col min="6" max="6" width="14" customWidth="1"/>
    <col min="7" max="7" width="18" customWidth="1"/>
    <col min="8" max="10" width="14" customWidth="1"/>
  </cols>
  <sheetData>
    <row r="1" spans="1:10" ht="15" customHeight="1" x14ac:dyDescent="0.25">
      <c r="A1" s="11" t="s">
        <v>169</v>
      </c>
      <c r="B1" s="11" t="s">
        <v>15</v>
      </c>
      <c r="C1" s="11" t="s">
        <v>16</v>
      </c>
      <c r="D1" s="11" t="s">
        <v>170</v>
      </c>
      <c r="E1" s="11" t="s">
        <v>171</v>
      </c>
      <c r="F1" s="11" t="s">
        <v>138</v>
      </c>
      <c r="G1" s="11" t="s">
        <v>172</v>
      </c>
      <c r="H1" s="11" t="s">
        <v>173</v>
      </c>
      <c r="I1" s="11" t="s">
        <v>174</v>
      </c>
      <c r="J1" s="11" t="s">
        <v>175</v>
      </c>
    </row>
    <row r="2" spans="1:10" ht="15" customHeight="1" x14ac:dyDescent="0.25">
      <c r="A2" s="12" t="s">
        <v>176</v>
      </c>
      <c r="B2" s="12" t="s">
        <v>24</v>
      </c>
      <c r="C2" s="12" t="s">
        <v>25</v>
      </c>
      <c r="D2" s="12">
        <v>10</v>
      </c>
      <c r="E2" s="12" t="s">
        <v>148</v>
      </c>
      <c r="F2" s="12" t="s">
        <v>146</v>
      </c>
      <c r="G2" s="13">
        <v>3.3000000000000002E-2</v>
      </c>
      <c r="H2" s="13">
        <v>0.75</v>
      </c>
      <c r="I2" s="13">
        <v>30</v>
      </c>
      <c r="J2" s="13">
        <v>50</v>
      </c>
    </row>
    <row r="3" spans="1:10" ht="15" customHeight="1" x14ac:dyDescent="0.25">
      <c r="A3" s="12" t="s">
        <v>177</v>
      </c>
      <c r="B3" s="12" t="s">
        <v>24</v>
      </c>
      <c r="C3" s="12" t="s">
        <v>25</v>
      </c>
      <c r="D3" s="12">
        <v>20</v>
      </c>
      <c r="E3" s="12" t="s">
        <v>155</v>
      </c>
      <c r="F3" s="12" t="s">
        <v>153</v>
      </c>
      <c r="G3" s="13">
        <v>0.02</v>
      </c>
      <c r="H3" s="13">
        <v>0.5</v>
      </c>
      <c r="I3" s="13">
        <v>30</v>
      </c>
      <c r="J3" s="13">
        <v>50</v>
      </c>
    </row>
    <row r="4" spans="1:10" ht="15" customHeight="1" x14ac:dyDescent="0.25">
      <c r="A4" s="12" t="s">
        <v>178</v>
      </c>
      <c r="B4" s="12" t="s">
        <v>28</v>
      </c>
      <c r="C4" s="12" t="s">
        <v>29</v>
      </c>
      <c r="D4" s="12">
        <v>10</v>
      </c>
      <c r="E4" s="12" t="s">
        <v>148</v>
      </c>
      <c r="F4" s="12" t="s">
        <v>146</v>
      </c>
      <c r="G4" s="13">
        <v>3.3000000000000002E-2</v>
      </c>
      <c r="H4" s="13">
        <v>0.75</v>
      </c>
      <c r="I4" s="13">
        <v>30</v>
      </c>
      <c r="J4" s="13">
        <v>50</v>
      </c>
    </row>
    <row r="5" spans="1:10" ht="15" customHeight="1" x14ac:dyDescent="0.25">
      <c r="A5" s="12" t="s">
        <v>179</v>
      </c>
      <c r="B5" s="12" t="s">
        <v>28</v>
      </c>
      <c r="C5" s="12" t="s">
        <v>29</v>
      </c>
      <c r="D5" s="12">
        <v>20</v>
      </c>
      <c r="E5" s="12" t="s">
        <v>155</v>
      </c>
      <c r="F5" s="12" t="s">
        <v>153</v>
      </c>
      <c r="G5" s="13">
        <v>0.02</v>
      </c>
      <c r="H5" s="13">
        <v>0.5</v>
      </c>
      <c r="I5" s="13">
        <v>30</v>
      </c>
      <c r="J5" s="13">
        <v>50</v>
      </c>
    </row>
    <row r="6" spans="1:10" ht="15" customHeight="1" x14ac:dyDescent="0.25">
      <c r="A6" s="12" t="s">
        <v>180</v>
      </c>
      <c r="B6" s="12" t="s">
        <v>30</v>
      </c>
      <c r="C6" s="12" t="s">
        <v>31</v>
      </c>
      <c r="D6" s="12">
        <v>10</v>
      </c>
      <c r="E6" s="12" t="s">
        <v>148</v>
      </c>
      <c r="F6" s="12" t="s">
        <v>146</v>
      </c>
      <c r="G6" s="13">
        <v>3.3000000000000002E-2</v>
      </c>
      <c r="H6" s="13">
        <v>0.75</v>
      </c>
      <c r="I6" s="13">
        <v>25</v>
      </c>
      <c r="J6" s="13">
        <v>40</v>
      </c>
    </row>
    <row r="7" spans="1:10" ht="15" customHeight="1" x14ac:dyDescent="0.25">
      <c r="A7" s="12" t="s">
        <v>181</v>
      </c>
      <c r="B7" s="12" t="s">
        <v>30</v>
      </c>
      <c r="C7" s="12" t="s">
        <v>31</v>
      </c>
      <c r="D7" s="12">
        <v>20</v>
      </c>
      <c r="E7" s="12" t="s">
        <v>155</v>
      </c>
      <c r="F7" s="12" t="s">
        <v>157</v>
      </c>
      <c r="G7" s="13">
        <v>0.02</v>
      </c>
      <c r="H7" s="13">
        <v>0.5</v>
      </c>
      <c r="I7" s="13">
        <v>25</v>
      </c>
      <c r="J7" s="13">
        <v>40</v>
      </c>
    </row>
    <row r="8" spans="1:10" ht="15" customHeight="1" x14ac:dyDescent="0.25">
      <c r="A8" s="12" t="s">
        <v>182</v>
      </c>
      <c r="B8" s="12" t="s">
        <v>30</v>
      </c>
      <c r="C8" s="12" t="s">
        <v>31</v>
      </c>
      <c r="D8" s="12">
        <v>30</v>
      </c>
      <c r="E8" s="12" t="s">
        <v>162</v>
      </c>
      <c r="F8" s="12" t="s">
        <v>160</v>
      </c>
      <c r="G8" s="13">
        <v>1.4999999999999999E-2</v>
      </c>
      <c r="H8" s="13">
        <v>1</v>
      </c>
      <c r="I8" s="13">
        <v>25</v>
      </c>
      <c r="J8" s="13">
        <v>40</v>
      </c>
    </row>
    <row r="9" spans="1:10" ht="15" customHeight="1" x14ac:dyDescent="0.25">
      <c r="A9" s="12" t="s">
        <v>183</v>
      </c>
      <c r="B9" s="12" t="s">
        <v>32</v>
      </c>
      <c r="C9" s="12" t="s">
        <v>33</v>
      </c>
      <c r="D9" s="12">
        <v>10</v>
      </c>
      <c r="E9" s="12" t="s">
        <v>148</v>
      </c>
      <c r="F9" s="12" t="s">
        <v>150</v>
      </c>
      <c r="G9" s="13">
        <v>3.3000000000000002E-2</v>
      </c>
      <c r="H9" s="13">
        <v>0.75</v>
      </c>
      <c r="I9" s="13">
        <v>25</v>
      </c>
      <c r="J9" s="13">
        <v>40</v>
      </c>
    </row>
    <row r="10" spans="1:10" ht="15" customHeight="1" x14ac:dyDescent="0.25">
      <c r="A10" s="12" t="s">
        <v>184</v>
      </c>
      <c r="B10" s="12" t="s">
        <v>32</v>
      </c>
      <c r="C10" s="12" t="s">
        <v>33</v>
      </c>
      <c r="D10" s="12">
        <v>20</v>
      </c>
      <c r="E10" s="12" t="s">
        <v>155</v>
      </c>
      <c r="F10" s="12" t="s">
        <v>157</v>
      </c>
      <c r="G10" s="13">
        <v>0.02</v>
      </c>
      <c r="H10" s="13">
        <v>0.5</v>
      </c>
      <c r="I10" s="13">
        <v>25</v>
      </c>
      <c r="J10" s="13">
        <v>40</v>
      </c>
    </row>
    <row r="11" spans="1:10" ht="15" customHeight="1" x14ac:dyDescent="0.25">
      <c r="A11" s="12" t="s">
        <v>185</v>
      </c>
      <c r="B11" s="12" t="s">
        <v>32</v>
      </c>
      <c r="C11" s="12" t="s">
        <v>33</v>
      </c>
      <c r="D11" s="12">
        <v>30</v>
      </c>
      <c r="E11" s="12" t="s">
        <v>162</v>
      </c>
      <c r="F11" s="12" t="s">
        <v>164</v>
      </c>
      <c r="G11" s="13">
        <v>1.7999999999999999E-2</v>
      </c>
      <c r="H11" s="13">
        <v>1</v>
      </c>
      <c r="I11" s="13">
        <v>25</v>
      </c>
      <c r="J11" s="13">
        <v>40</v>
      </c>
    </row>
    <row r="12" spans="1:10" ht="15" customHeight="1" x14ac:dyDescent="0.25">
      <c r="A12" s="12" t="s">
        <v>186</v>
      </c>
      <c r="B12" s="12" t="s">
        <v>34</v>
      </c>
      <c r="C12" s="12" t="s">
        <v>35</v>
      </c>
      <c r="D12" s="12">
        <v>10</v>
      </c>
      <c r="E12" s="12" t="s">
        <v>148</v>
      </c>
      <c r="F12" s="12" t="s">
        <v>150</v>
      </c>
      <c r="G12" s="13">
        <v>3.3000000000000002E-2</v>
      </c>
      <c r="H12" s="13">
        <v>0.75</v>
      </c>
      <c r="I12" s="13">
        <v>20</v>
      </c>
      <c r="J12" s="13">
        <v>35</v>
      </c>
    </row>
    <row r="13" spans="1:10" ht="15" customHeight="1" x14ac:dyDescent="0.25">
      <c r="A13" s="12" t="s">
        <v>187</v>
      </c>
      <c r="B13" s="12" t="s">
        <v>34</v>
      </c>
      <c r="C13" s="12" t="s">
        <v>35</v>
      </c>
      <c r="D13" s="12">
        <v>20</v>
      </c>
      <c r="E13" s="12" t="s">
        <v>155</v>
      </c>
      <c r="F13" s="12" t="s">
        <v>153</v>
      </c>
      <c r="G13" s="13">
        <v>0.02</v>
      </c>
      <c r="H13" s="13">
        <v>0.5</v>
      </c>
      <c r="I13" s="13">
        <v>20</v>
      </c>
      <c r="J13" s="13">
        <v>35</v>
      </c>
    </row>
    <row r="14" spans="1:10" ht="15" customHeight="1" x14ac:dyDescent="0.25">
      <c r="A14" s="12" t="s">
        <v>188</v>
      </c>
      <c r="B14" s="12" t="s">
        <v>34</v>
      </c>
      <c r="C14" s="12" t="s">
        <v>35</v>
      </c>
      <c r="D14" s="12">
        <v>30</v>
      </c>
      <c r="E14" s="12" t="s">
        <v>162</v>
      </c>
      <c r="F14" s="12" t="s">
        <v>166</v>
      </c>
      <c r="G14" s="13">
        <v>2.5000000000000001E-2</v>
      </c>
      <c r="H14" s="13">
        <v>1.5</v>
      </c>
      <c r="I14" s="13">
        <v>20</v>
      </c>
      <c r="J14" s="13">
        <v>35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6"/>
  <sheetViews>
    <sheetView showGridLines="0" zoomScaleNormal="100" workbookViewId="0"/>
  </sheetViews>
  <sheetFormatPr defaultColWidth="8.7109375" defaultRowHeight="15" x14ac:dyDescent="0.25"/>
  <cols>
    <col min="1" max="1" width="22" customWidth="1"/>
    <col min="2" max="6" width="18" customWidth="1"/>
  </cols>
  <sheetData>
    <row r="1" spans="1:6" ht="15" customHeight="1" x14ac:dyDescent="0.25">
      <c r="A1" s="16" t="s">
        <v>189</v>
      </c>
      <c r="B1" s="11" t="s">
        <v>25</v>
      </c>
      <c r="C1" s="11" t="s">
        <v>29</v>
      </c>
      <c r="D1" s="11" t="s">
        <v>31</v>
      </c>
      <c r="E1" s="11" t="s">
        <v>33</v>
      </c>
      <c r="F1" s="11" t="s">
        <v>35</v>
      </c>
    </row>
    <row r="2" spans="1:6" ht="15" customHeight="1" x14ac:dyDescent="0.25">
      <c r="A2" s="11" t="s">
        <v>25</v>
      </c>
      <c r="B2" s="17">
        <v>0</v>
      </c>
      <c r="C2" s="18">
        <v>30</v>
      </c>
      <c r="D2" s="18">
        <v>60</v>
      </c>
      <c r="E2" s="18">
        <v>60</v>
      </c>
      <c r="F2" s="18">
        <v>90</v>
      </c>
    </row>
    <row r="3" spans="1:6" ht="15" customHeight="1" x14ac:dyDescent="0.25">
      <c r="A3" s="11" t="s">
        <v>29</v>
      </c>
      <c r="B3" s="18">
        <v>30</v>
      </c>
      <c r="C3" s="17">
        <v>0</v>
      </c>
      <c r="D3" s="18">
        <v>60</v>
      </c>
      <c r="E3" s="18">
        <v>60</v>
      </c>
      <c r="F3" s="18">
        <v>90</v>
      </c>
    </row>
    <row r="4" spans="1:6" ht="15" customHeight="1" x14ac:dyDescent="0.25">
      <c r="A4" s="11" t="s">
        <v>31</v>
      </c>
      <c r="B4" s="18">
        <v>60</v>
      </c>
      <c r="C4" s="18">
        <v>60</v>
      </c>
      <c r="D4" s="17">
        <v>0</v>
      </c>
      <c r="E4" s="18">
        <v>30</v>
      </c>
      <c r="F4" s="18">
        <v>90</v>
      </c>
    </row>
    <row r="5" spans="1:6" ht="15" customHeight="1" x14ac:dyDescent="0.25">
      <c r="A5" s="11" t="s">
        <v>33</v>
      </c>
      <c r="B5" s="18">
        <v>60</v>
      </c>
      <c r="C5" s="18">
        <v>60</v>
      </c>
      <c r="D5" s="18">
        <v>30</v>
      </c>
      <c r="E5" s="17">
        <v>0</v>
      </c>
      <c r="F5" s="18">
        <v>90</v>
      </c>
    </row>
    <row r="6" spans="1:6" ht="15" customHeight="1" x14ac:dyDescent="0.25">
      <c r="A6" s="11" t="s">
        <v>35</v>
      </c>
      <c r="B6" s="18">
        <v>90</v>
      </c>
      <c r="C6" s="18">
        <v>90</v>
      </c>
      <c r="D6" s="18">
        <v>90</v>
      </c>
      <c r="E6" s="18">
        <v>90</v>
      </c>
      <c r="F6" s="17">
        <v>0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Q10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14" customWidth="1"/>
    <col min="2" max="2" width="24" customWidth="1"/>
    <col min="3" max="3" width="12" customWidth="1"/>
    <col min="4" max="17" width="10" customWidth="1"/>
  </cols>
  <sheetData>
    <row r="1" spans="1:17" ht="15" customHeight="1" x14ac:dyDescent="0.25">
      <c r="A1" s="11" t="s">
        <v>138</v>
      </c>
      <c r="B1" s="11" t="s">
        <v>139</v>
      </c>
      <c r="C1" s="11" t="s">
        <v>190</v>
      </c>
      <c r="D1" s="11" t="s">
        <v>191</v>
      </c>
      <c r="E1" s="11" t="s">
        <v>192</v>
      </c>
      <c r="F1" s="11" t="s">
        <v>193</v>
      </c>
      <c r="G1" s="11" t="s">
        <v>194</v>
      </c>
      <c r="H1" s="11" t="s">
        <v>195</v>
      </c>
      <c r="I1" s="11" t="s">
        <v>196</v>
      </c>
      <c r="J1" s="11" t="s">
        <v>197</v>
      </c>
      <c r="K1" s="11" t="s">
        <v>198</v>
      </c>
      <c r="L1" s="11" t="s">
        <v>199</v>
      </c>
      <c r="M1" s="11" t="s">
        <v>200</v>
      </c>
      <c r="N1" s="11" t="s">
        <v>201</v>
      </c>
      <c r="O1" s="11" t="s">
        <v>202</v>
      </c>
      <c r="P1" s="11" t="s">
        <v>203</v>
      </c>
      <c r="Q1" s="11" t="s">
        <v>204</v>
      </c>
    </row>
    <row r="2" spans="1:17" ht="15" customHeight="1" x14ac:dyDescent="0.25">
      <c r="A2" s="12" t="s">
        <v>146</v>
      </c>
      <c r="B2" s="12" t="s">
        <v>147</v>
      </c>
      <c r="C2" s="12">
        <v>24</v>
      </c>
      <c r="D2" s="19">
        <v>0</v>
      </c>
      <c r="E2" s="19">
        <v>0</v>
      </c>
      <c r="F2" s="19">
        <v>0</v>
      </c>
      <c r="G2" s="19">
        <v>0</v>
      </c>
      <c r="H2" s="19">
        <v>0</v>
      </c>
      <c r="I2" s="19">
        <v>0</v>
      </c>
      <c r="J2" s="19">
        <v>0</v>
      </c>
      <c r="K2" s="19">
        <v>0</v>
      </c>
      <c r="L2" s="19">
        <v>0</v>
      </c>
      <c r="M2" s="19">
        <v>0</v>
      </c>
      <c r="N2" s="19">
        <v>0</v>
      </c>
      <c r="O2" s="19">
        <v>0</v>
      </c>
      <c r="P2" s="19">
        <v>0</v>
      </c>
      <c r="Q2" s="19">
        <v>0</v>
      </c>
    </row>
    <row r="3" spans="1:17" ht="15" customHeight="1" x14ac:dyDescent="0.25">
      <c r="A3" s="12" t="s">
        <v>150</v>
      </c>
      <c r="B3" s="12" t="s">
        <v>151</v>
      </c>
      <c r="C3" s="12">
        <v>24</v>
      </c>
      <c r="D3" s="19">
        <v>0</v>
      </c>
      <c r="E3" s="19">
        <v>0</v>
      </c>
      <c r="F3" s="19">
        <v>0</v>
      </c>
      <c r="G3" s="19">
        <v>0</v>
      </c>
      <c r="H3" s="19">
        <v>0</v>
      </c>
      <c r="I3" s="19">
        <v>0</v>
      </c>
      <c r="J3" s="19">
        <v>0</v>
      </c>
      <c r="K3" s="19">
        <v>0</v>
      </c>
      <c r="L3" s="19">
        <v>0</v>
      </c>
      <c r="M3" s="19">
        <v>0</v>
      </c>
      <c r="N3" s="19">
        <v>0</v>
      </c>
      <c r="O3" s="19">
        <v>0</v>
      </c>
      <c r="P3" s="19">
        <v>0</v>
      </c>
      <c r="Q3" s="19">
        <v>0</v>
      </c>
    </row>
    <row r="4" spans="1:17" ht="15" customHeight="1" x14ac:dyDescent="0.25">
      <c r="A4" s="12" t="s">
        <v>153</v>
      </c>
      <c r="B4" s="12" t="s">
        <v>154</v>
      </c>
      <c r="C4" s="12">
        <v>24</v>
      </c>
      <c r="D4" s="19">
        <v>0</v>
      </c>
      <c r="E4" s="19">
        <v>0</v>
      </c>
      <c r="F4" s="19">
        <v>0</v>
      </c>
      <c r="G4" s="19">
        <v>0</v>
      </c>
      <c r="H4" s="19">
        <v>0</v>
      </c>
      <c r="I4" s="19">
        <v>0</v>
      </c>
      <c r="J4" s="19">
        <v>0</v>
      </c>
      <c r="K4" s="19">
        <v>0</v>
      </c>
      <c r="L4" s="19">
        <v>0</v>
      </c>
      <c r="M4" s="19">
        <v>0</v>
      </c>
      <c r="N4" s="19">
        <v>0</v>
      </c>
      <c r="O4" s="19">
        <v>0</v>
      </c>
      <c r="P4" s="19">
        <v>0</v>
      </c>
      <c r="Q4" s="19">
        <v>0</v>
      </c>
    </row>
    <row r="5" spans="1:17" ht="15" customHeight="1" x14ac:dyDescent="0.25">
      <c r="A5" s="12" t="s">
        <v>157</v>
      </c>
      <c r="B5" s="12" t="s">
        <v>158</v>
      </c>
      <c r="C5" s="12">
        <v>24</v>
      </c>
      <c r="D5" s="19">
        <v>0</v>
      </c>
      <c r="E5" s="19">
        <v>0</v>
      </c>
      <c r="F5" s="19">
        <v>0</v>
      </c>
      <c r="G5" s="19">
        <v>0</v>
      </c>
      <c r="H5" s="19">
        <v>0</v>
      </c>
      <c r="I5" s="19">
        <v>0</v>
      </c>
      <c r="J5" s="19">
        <v>0</v>
      </c>
      <c r="K5" s="19">
        <v>0</v>
      </c>
      <c r="L5" s="19">
        <v>0</v>
      </c>
      <c r="M5" s="19">
        <v>0</v>
      </c>
      <c r="N5" s="19">
        <v>0</v>
      </c>
      <c r="O5" s="19">
        <v>0</v>
      </c>
      <c r="P5" s="19">
        <v>0</v>
      </c>
      <c r="Q5" s="19">
        <v>0</v>
      </c>
    </row>
    <row r="6" spans="1:17" ht="15" customHeight="1" x14ac:dyDescent="0.25">
      <c r="A6" s="12" t="s">
        <v>160</v>
      </c>
      <c r="B6" s="12" t="s">
        <v>161</v>
      </c>
      <c r="C6" s="12">
        <v>16</v>
      </c>
      <c r="D6" s="19">
        <v>0</v>
      </c>
      <c r="E6" s="19">
        <v>0</v>
      </c>
      <c r="F6" s="19">
        <v>0</v>
      </c>
      <c r="G6" s="19">
        <v>0</v>
      </c>
      <c r="H6" s="19">
        <v>0</v>
      </c>
      <c r="I6" s="19">
        <v>0</v>
      </c>
      <c r="J6" s="19">
        <v>0</v>
      </c>
      <c r="K6" s="19">
        <v>0</v>
      </c>
      <c r="L6" s="19">
        <v>0</v>
      </c>
      <c r="M6" s="19">
        <v>0</v>
      </c>
      <c r="N6" s="19">
        <v>0</v>
      </c>
      <c r="O6" s="19">
        <v>0</v>
      </c>
      <c r="P6" s="19">
        <v>0</v>
      </c>
      <c r="Q6" s="19">
        <v>0</v>
      </c>
    </row>
    <row r="7" spans="1:17" ht="15" customHeight="1" x14ac:dyDescent="0.25">
      <c r="A7" s="12" t="s">
        <v>164</v>
      </c>
      <c r="B7" s="12" t="s">
        <v>165</v>
      </c>
      <c r="C7" s="12">
        <v>16</v>
      </c>
      <c r="D7" s="19">
        <v>0</v>
      </c>
      <c r="E7" s="19">
        <v>0</v>
      </c>
      <c r="F7" s="19">
        <v>0</v>
      </c>
      <c r="G7" s="19">
        <v>0</v>
      </c>
      <c r="H7" s="19">
        <v>0</v>
      </c>
      <c r="I7" s="19">
        <v>0</v>
      </c>
      <c r="J7" s="19">
        <v>0</v>
      </c>
      <c r="K7" s="19">
        <v>0</v>
      </c>
      <c r="L7" s="19">
        <v>0</v>
      </c>
      <c r="M7" s="19">
        <v>0</v>
      </c>
      <c r="N7" s="19">
        <v>0</v>
      </c>
      <c r="O7" s="19">
        <v>0</v>
      </c>
      <c r="P7" s="19">
        <v>0</v>
      </c>
      <c r="Q7" s="19">
        <v>0</v>
      </c>
    </row>
    <row r="8" spans="1:17" ht="15" customHeight="1" x14ac:dyDescent="0.25">
      <c r="A8" s="12" t="s">
        <v>166</v>
      </c>
      <c r="B8" s="12" t="s">
        <v>167</v>
      </c>
      <c r="C8" s="12">
        <v>16</v>
      </c>
      <c r="D8" s="19">
        <v>0</v>
      </c>
      <c r="E8" s="19">
        <v>0</v>
      </c>
      <c r="F8" s="19">
        <v>0</v>
      </c>
      <c r="G8" s="19">
        <v>0</v>
      </c>
      <c r="H8" s="19">
        <v>0</v>
      </c>
      <c r="I8" s="19">
        <v>0</v>
      </c>
      <c r="J8" s="19">
        <v>0</v>
      </c>
      <c r="K8" s="19">
        <v>0</v>
      </c>
      <c r="L8" s="19">
        <v>0</v>
      </c>
      <c r="M8" s="19">
        <v>0</v>
      </c>
      <c r="N8" s="19">
        <v>0</v>
      </c>
      <c r="O8" s="19">
        <v>0</v>
      </c>
      <c r="P8" s="19">
        <v>0</v>
      </c>
      <c r="Q8" s="19">
        <v>0</v>
      </c>
    </row>
    <row r="10" spans="1:17" ht="15" customHeight="1" x14ac:dyDescent="0.25">
      <c r="A10" s="9" t="s">
        <v>205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N2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2" width="12" customWidth="1"/>
    <col min="3" max="3" width="14" customWidth="1"/>
    <col min="4" max="4" width="22" customWidth="1"/>
    <col min="5" max="6" width="14" customWidth="1"/>
    <col min="7" max="8" width="18" customWidth="1"/>
    <col min="9" max="9" width="14" customWidth="1"/>
    <col min="10" max="10" width="10" customWidth="1"/>
    <col min="11" max="11" width="12" customWidth="1"/>
    <col min="12" max="13" width="18" customWidth="1"/>
    <col min="14" max="14" width="14" customWidth="1"/>
  </cols>
  <sheetData>
    <row r="1" spans="1:14" ht="15" customHeight="1" x14ac:dyDescent="0.25">
      <c r="A1" s="11" t="s">
        <v>206</v>
      </c>
      <c r="B1" s="11" t="s">
        <v>82</v>
      </c>
      <c r="C1" s="11" t="s">
        <v>15</v>
      </c>
      <c r="D1" s="11" t="s">
        <v>16</v>
      </c>
      <c r="E1" s="11" t="s">
        <v>171</v>
      </c>
      <c r="F1" s="11" t="s">
        <v>138</v>
      </c>
      <c r="G1" s="11" t="s">
        <v>207</v>
      </c>
      <c r="H1" s="11" t="s">
        <v>208</v>
      </c>
      <c r="I1" s="11" t="s">
        <v>209</v>
      </c>
      <c r="J1" s="11" t="s">
        <v>210</v>
      </c>
      <c r="K1" s="11" t="s">
        <v>89</v>
      </c>
      <c r="L1" s="11" t="s">
        <v>211</v>
      </c>
      <c r="M1" s="11" t="s">
        <v>212</v>
      </c>
      <c r="N1" s="11" t="s">
        <v>213</v>
      </c>
    </row>
    <row r="2" spans="1:14" ht="15" customHeight="1" x14ac:dyDescent="0.25">
      <c r="A2" s="10" t="s">
        <v>214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L2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12" customWidth="1"/>
    <col min="2" max="3" width="14" customWidth="1"/>
    <col min="4" max="9" width="18" customWidth="1"/>
    <col min="10" max="10" width="14" customWidth="1"/>
    <col min="11" max="11" width="12" customWidth="1"/>
    <col min="12" max="12" width="10" customWidth="1"/>
  </cols>
  <sheetData>
    <row r="1" spans="1:12" ht="15" customHeight="1" x14ac:dyDescent="0.25">
      <c r="A1" s="11" t="s">
        <v>206</v>
      </c>
      <c r="B1" s="11" t="s">
        <v>138</v>
      </c>
      <c r="C1" s="11" t="s">
        <v>15</v>
      </c>
      <c r="D1" s="11" t="s">
        <v>207</v>
      </c>
      <c r="E1" s="11" t="s">
        <v>208</v>
      </c>
      <c r="F1" s="11" t="s">
        <v>211</v>
      </c>
      <c r="G1" s="11" t="s">
        <v>212</v>
      </c>
      <c r="H1" s="11" t="s">
        <v>215</v>
      </c>
      <c r="I1" s="11" t="s">
        <v>216</v>
      </c>
      <c r="J1" s="11" t="s">
        <v>213</v>
      </c>
      <c r="K1" s="11" t="s">
        <v>217</v>
      </c>
      <c r="L1" s="11" t="s">
        <v>218</v>
      </c>
    </row>
    <row r="2" spans="1:12" ht="15" customHeight="1" x14ac:dyDescent="0.25">
      <c r="A2" s="10" t="s">
        <v>219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D10"/>
  <sheetViews>
    <sheetView showGridLines="0" zoomScaleNormal="100" workbookViewId="0">
      <pane ySplit="2" topLeftCell="A3" activePane="bottomLeft" state="frozen"/>
      <selection pane="bottomLeft" sqref="A1:D1"/>
    </sheetView>
  </sheetViews>
  <sheetFormatPr defaultColWidth="8.7109375" defaultRowHeight="15" x14ac:dyDescent="0.25"/>
  <cols>
    <col min="1" max="1" width="28" customWidth="1"/>
    <col min="2" max="2" width="16" customWidth="1"/>
    <col min="3" max="3" width="40" customWidth="1"/>
  </cols>
  <sheetData>
    <row r="1" spans="1:4" ht="15" customHeight="1" x14ac:dyDescent="0.25">
      <c r="A1" s="1" t="s">
        <v>220</v>
      </c>
      <c r="B1" s="1"/>
      <c r="C1" s="1"/>
      <c r="D1" s="1"/>
    </row>
    <row r="2" spans="1:4" ht="15" customHeight="1" x14ac:dyDescent="0.25">
      <c r="A2" s="11" t="s">
        <v>221</v>
      </c>
      <c r="B2" s="11" t="s">
        <v>222</v>
      </c>
      <c r="C2" s="11" t="s">
        <v>223</v>
      </c>
    </row>
    <row r="3" spans="1:4" ht="15" customHeight="1" x14ac:dyDescent="0.25">
      <c r="A3" s="12" t="s">
        <v>224</v>
      </c>
      <c r="B3" s="20">
        <v>0</v>
      </c>
      <c r="C3" s="12" t="s">
        <v>225</v>
      </c>
    </row>
    <row r="4" spans="1:4" ht="15" customHeight="1" x14ac:dyDescent="0.25">
      <c r="A4" s="12" t="s">
        <v>226</v>
      </c>
      <c r="B4" s="20"/>
      <c r="C4" s="12" t="s">
        <v>227</v>
      </c>
    </row>
    <row r="5" spans="1:4" ht="15" customHeight="1" x14ac:dyDescent="0.25">
      <c r="A5" s="12" t="s">
        <v>228</v>
      </c>
      <c r="B5" s="20">
        <v>0</v>
      </c>
      <c r="C5" s="12" t="s">
        <v>229</v>
      </c>
    </row>
    <row r="6" spans="1:4" ht="15" customHeight="1" x14ac:dyDescent="0.25">
      <c r="A6" s="12" t="s">
        <v>230</v>
      </c>
      <c r="B6" s="20"/>
      <c r="C6" s="12" t="s">
        <v>231</v>
      </c>
    </row>
    <row r="7" spans="1:4" ht="15" customHeight="1" x14ac:dyDescent="0.25">
      <c r="A7" s="12" t="s">
        <v>232</v>
      </c>
      <c r="B7" s="20">
        <v>0</v>
      </c>
      <c r="C7" s="12" t="s">
        <v>233</v>
      </c>
    </row>
    <row r="8" spans="1:4" ht="15" customHeight="1" x14ac:dyDescent="0.25">
      <c r="A8" s="12" t="s">
        <v>234</v>
      </c>
      <c r="B8" s="20"/>
      <c r="C8" s="12" t="s">
        <v>235</v>
      </c>
    </row>
    <row r="9" spans="1:4" ht="15" customHeight="1" x14ac:dyDescent="0.25">
      <c r="A9" s="12" t="s">
        <v>236</v>
      </c>
      <c r="B9" s="20">
        <v>0</v>
      </c>
      <c r="C9" s="12" t="s">
        <v>237</v>
      </c>
    </row>
    <row r="10" spans="1:4" ht="15" customHeight="1" x14ac:dyDescent="0.25">
      <c r="A10" s="12" t="s">
        <v>238</v>
      </c>
      <c r="B10" s="20">
        <v>2</v>
      </c>
      <c r="C10" s="12" t="s">
        <v>239</v>
      </c>
    </row>
  </sheetData>
  <mergeCells count="1">
    <mergeCell ref="A1:D1"/>
  </mergeCells>
  <pageMargins left="0.75" right="0.75" top="1" bottom="1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F9"/>
  <sheetViews>
    <sheetView showGridLines="0" zoomScaleNormal="100" workbookViewId="0">
      <pane ySplit="2" topLeftCell="A3" activePane="bottomLeft" state="frozen"/>
      <selection pane="bottomLeft" sqref="A1:F1"/>
    </sheetView>
  </sheetViews>
  <sheetFormatPr defaultColWidth="8.7109375" defaultRowHeight="15" x14ac:dyDescent="0.25"/>
  <cols>
    <col min="1" max="2" width="30" customWidth="1"/>
    <col min="3" max="3" width="20" customWidth="1"/>
  </cols>
  <sheetData>
    <row r="1" spans="1:6" ht="17.25" customHeight="1" x14ac:dyDescent="0.25">
      <c r="A1" s="6" t="s">
        <v>240</v>
      </c>
      <c r="B1" s="6"/>
      <c r="C1" s="6"/>
      <c r="D1" s="6"/>
      <c r="E1" s="6"/>
      <c r="F1" s="6"/>
    </row>
    <row r="3" spans="1:6" ht="15" customHeight="1" x14ac:dyDescent="0.25">
      <c r="A3" s="11" t="s">
        <v>241</v>
      </c>
      <c r="B3" s="11" t="s">
        <v>222</v>
      </c>
      <c r="C3" s="11" t="s">
        <v>242</v>
      </c>
    </row>
    <row r="4" spans="1:6" ht="15" customHeight="1" x14ac:dyDescent="0.25">
      <c r="A4" s="12" t="s">
        <v>243</v>
      </c>
      <c r="B4" s="14">
        <f>COUNTIF(Schedule_Output!K:K,"Complete")/COUNTA(Schedule_Output!A:A)-1</f>
        <v>-1</v>
      </c>
      <c r="C4" s="12" t="s">
        <v>244</v>
      </c>
    </row>
    <row r="5" spans="1:6" ht="15" customHeight="1" x14ac:dyDescent="0.25">
      <c r="A5" s="12" t="s">
        <v>245</v>
      </c>
      <c r="B5" s="21" t="s">
        <v>246</v>
      </c>
      <c r="C5" s="12" t="s">
        <v>247</v>
      </c>
    </row>
    <row r="6" spans="1:6" ht="15" customHeight="1" x14ac:dyDescent="0.25">
      <c r="A6" s="12" t="s">
        <v>248</v>
      </c>
      <c r="B6" s="21" t="s">
        <v>249</v>
      </c>
      <c r="C6" s="12" t="s">
        <v>250</v>
      </c>
    </row>
    <row r="7" spans="1:6" ht="15" customHeight="1" x14ac:dyDescent="0.25">
      <c r="A7" s="12" t="s">
        <v>251</v>
      </c>
      <c r="B7" s="14">
        <f>COUNTA(Sales_Orders!A:A)-1</f>
        <v>20</v>
      </c>
      <c r="C7" s="12" t="s">
        <v>252</v>
      </c>
    </row>
    <row r="8" spans="1:6" ht="15" customHeight="1" x14ac:dyDescent="0.25">
      <c r="A8" s="12" t="s">
        <v>253</v>
      </c>
      <c r="B8" s="21" t="s">
        <v>254</v>
      </c>
      <c r="C8" s="12" t="s">
        <v>255</v>
      </c>
    </row>
    <row r="9" spans="1:6" ht="15" customHeight="1" x14ac:dyDescent="0.25">
      <c r="A9" s="12" t="s">
        <v>256</v>
      </c>
      <c r="B9" s="21" t="s">
        <v>257</v>
      </c>
      <c r="C9" s="12" t="s">
        <v>258</v>
      </c>
    </row>
  </sheetData>
  <mergeCells count="1">
    <mergeCell ref="A1:F1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Control_Panel</vt:lpstr>
      <vt:lpstr>SKU_Master</vt:lpstr>
      <vt:lpstr>BOM</vt:lpstr>
      <vt:lpstr>Inventory</vt:lpstr>
      <vt:lpstr>Sales_Orders</vt:lpstr>
      <vt:lpstr>Resource_Master</vt:lpstr>
      <vt:lpstr>Routing</vt:lpstr>
      <vt:lpstr>Changeover_Matrix</vt:lpstr>
      <vt:lpstr>Capacity_Map</vt:lpstr>
      <vt:lpstr>Schedule_Output</vt:lpstr>
      <vt:lpstr>Theo_vs_Actual</vt:lpstr>
      <vt:lpstr>Scenarios</vt:lpstr>
      <vt:lpstr>KPI_Dashboard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Snehil Bhadkamkar</cp:lastModifiedBy>
  <cp:revision>0</cp:revision>
  <dcterms:created xsi:type="dcterms:W3CDTF">2026-04-01T03:03:54Z</dcterms:created>
  <dcterms:modified xsi:type="dcterms:W3CDTF">2026-04-01T06:33:04Z</dcterms:modified>
  <dc:language>en-US</dc:language>
</cp:coreProperties>
</file>