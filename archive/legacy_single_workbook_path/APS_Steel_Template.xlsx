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_Panel" sheetId="1" state="visible" r:id="rId3"/>
    <sheet name="SKU_Master" sheetId="2" state="visible" r:id="rId4"/>
    <sheet name="BOM" sheetId="3" state="visible" r:id="rId5"/>
    <sheet name="Inventory" sheetId="4" state="visible" r:id="rId6"/>
    <sheet name="Sales_Orders" sheetId="5" state="visible" r:id="rId7"/>
    <sheet name="Resource_Master" sheetId="6" state="visible" r:id="rId8"/>
    <sheet name="Routing" sheetId="7" state="visible" r:id="rId9"/>
    <sheet name="Changeover_Matrix" sheetId="8" state="visible" r:id="rId10"/>
    <sheet name="Capacity_Map" sheetId="9" state="visible" r:id="rId11"/>
    <sheet name="Schedule_Output" sheetId="10" state="visible" r:id="rId12"/>
    <sheet name="Theo_vs_Actual" sheetId="11" state="visible" r:id="rId13"/>
    <sheet name="Scenarios" sheetId="12" state="visible" r:id="rId14"/>
    <sheet name="KPI_Dashboar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<sst xmlns="http://schemas.openxmlformats.org/spreadsheetml/2006/main" count="663" uniqueCount="259">
  <si>
    <t xml:space="preserve">APS — Advanced Planning &amp; Scheduling</t>
  </si>
  <si>
    <t xml:space="preserve">Steel / Metal Plant  |  xlwings + Python Engine</t>
  </si>
  <si>
    <t xml:space="preserve">💥  Run BOM Explosion</t>
  </si>
  <si>
    <t xml:space="preserve">Explodes Sales Order demand through multi-level BOM and nets against inventory.</t>
  </si>
  <si>
    <t xml:space="preserve">📊  Run Capacity Map</t>
  </si>
  <si>
    <t xml:space="preserve">Calculates demand hours per machine and compares vs available capacity.</t>
  </si>
  <si>
    <t xml:space="preserve">📅  Run Schedule</t>
  </si>
  <si>
    <t xml:space="preserve">Generates finite schedule using EDD. Late jobs highlighted in red.</t>
  </si>
  <si>
    <t xml:space="preserve">🔀  Run Scenarios</t>
  </si>
  <si>
    <t xml:space="preserve">Runs all What-If scenarios and writes comparison to Scenarios sheet.</t>
  </si>
  <si>
    <t xml:space="preserve">🗑  Clear Outputs</t>
  </si>
  <si>
    <t xml:space="preserve">Clears all computed outputs. Use before a fresh run.</t>
  </si>
  <si>
    <t xml:space="preserve">Last Run Status:</t>
  </si>
  <si>
    <t xml:space="preserve">Not yet run</t>
  </si>
  <si>
    <t xml:space="preserve">SETUP INSTRUCTIONS
1. Install xlwings add-in: open cmd, run  xlwings addin install
2. In Excel ribbon → xlwings tab → set Python path to your python.exe
3. Set UDF Modules to:  aps_functions
4. Click any button above to run the engine</t>
  </si>
  <si>
    <t xml:space="preserve">SKU_ID</t>
  </si>
  <si>
    <t xml:space="preserve">SKU_Name</t>
  </si>
  <si>
    <t xml:space="preserve">SKU_Type</t>
  </si>
  <si>
    <t xml:space="preserve">UOM</t>
  </si>
  <si>
    <t xml:space="preserve">Lead_Time_Days</t>
  </si>
  <si>
    <t xml:space="preserve">Min_Order_Qty</t>
  </si>
  <si>
    <t xml:space="preserve">Safety_Stock</t>
  </si>
  <si>
    <t xml:space="preserve">Shelf_Life_Days</t>
  </si>
  <si>
    <t xml:space="preserve">Active</t>
  </si>
  <si>
    <t xml:space="preserve">SKU-FG-001</t>
  </si>
  <si>
    <t xml:space="preserve">Billets 100x100</t>
  </si>
  <si>
    <t xml:space="preserve">Finished Good</t>
  </si>
  <si>
    <t xml:space="preserve">MT</t>
  </si>
  <si>
    <t xml:space="preserve">SKU-FG-002</t>
  </si>
  <si>
    <t xml:space="preserve">Billets 130x130</t>
  </si>
  <si>
    <t xml:space="preserve">SKU-FG-003</t>
  </si>
  <si>
    <t xml:space="preserve">TMT Rebar 12mm</t>
  </si>
  <si>
    <t xml:space="preserve">SKU-FG-004</t>
  </si>
  <si>
    <t xml:space="preserve">TMT Rebar 16mm</t>
  </si>
  <si>
    <t xml:space="preserve">SKU-FG-005</t>
  </si>
  <si>
    <t xml:space="preserve">Wire Rod 5.5mm</t>
  </si>
  <si>
    <t xml:space="preserve">SKU-SF-001</t>
  </si>
  <si>
    <t xml:space="preserve">Liquid Steel Heat</t>
  </si>
  <si>
    <t xml:space="preserve">Semi-Finished</t>
  </si>
  <si>
    <t xml:space="preserve">SKU-SF-002</t>
  </si>
  <si>
    <t xml:space="preserve">Bloom 160x160</t>
  </si>
  <si>
    <t xml:space="preserve">SKU-RM-001</t>
  </si>
  <si>
    <t xml:space="preserve">Scrap HMS-1</t>
  </si>
  <si>
    <t xml:space="preserve">Raw Material</t>
  </si>
  <si>
    <t xml:space="preserve">SKU-RM-002</t>
  </si>
  <si>
    <t xml:space="preserve">Scrap HMS-2</t>
  </si>
  <si>
    <t xml:space="preserve">SKU-RM-003</t>
  </si>
  <si>
    <t xml:space="preserve">DRI / Sponge Iron</t>
  </si>
  <si>
    <t xml:space="preserve">SKU-RM-004</t>
  </si>
  <si>
    <t xml:space="preserve">Ferro Alloys</t>
  </si>
  <si>
    <t xml:space="preserve">KG</t>
  </si>
  <si>
    <t xml:space="preserve">SKU-RM-005</t>
  </si>
  <si>
    <t xml:space="preserve">Electrode</t>
  </si>
  <si>
    <t xml:space="preserve">PCS</t>
  </si>
  <si>
    <t xml:space="preserve">BOM_ID</t>
  </si>
  <si>
    <t xml:space="preserve">Parent_SKU</t>
  </si>
  <si>
    <t xml:space="preserve">Parent_Name</t>
  </si>
  <si>
    <t xml:space="preserve">Level</t>
  </si>
  <si>
    <t xml:space="preserve">Child_SKU</t>
  </si>
  <si>
    <t xml:space="preserve">Child_Name</t>
  </si>
  <si>
    <t xml:space="preserve">Qty_Per</t>
  </si>
  <si>
    <t xml:space="preserve">Scrap_%</t>
  </si>
  <si>
    <t xml:space="preserve">Effective_From</t>
  </si>
  <si>
    <t xml:space="preserve">BOM-001</t>
  </si>
  <si>
    <t xml:space="preserve">2024-01-01</t>
  </si>
  <si>
    <t xml:space="preserve">BOM-002</t>
  </si>
  <si>
    <t xml:space="preserve">BOM-003</t>
  </si>
  <si>
    <t xml:space="preserve">BOM-004</t>
  </si>
  <si>
    <t xml:space="preserve">BOM-005</t>
  </si>
  <si>
    <t xml:space="preserve">BOM-006</t>
  </si>
  <si>
    <t xml:space="preserve">BOM-007</t>
  </si>
  <si>
    <t xml:space="preserve">BOM-008</t>
  </si>
  <si>
    <t xml:space="preserve">BOM-009</t>
  </si>
  <si>
    <t xml:space="preserve">BOM-010</t>
  </si>
  <si>
    <t xml:space="preserve">BOM-011</t>
  </si>
  <si>
    <t xml:space="preserve">On_Hand_Qty</t>
  </si>
  <si>
    <t xml:space="preserve">WIP_Qty</t>
  </si>
  <si>
    <t xml:space="preserve">In_Transit_Qty</t>
  </si>
  <si>
    <t xml:space="preserve">Reserved_Qty</t>
  </si>
  <si>
    <t xml:space="preserve">Available_Qty</t>
  </si>
  <si>
    <t xml:space="preserve">Last_Updated</t>
  </si>
  <si>
    <t xml:space="preserve">2026-04-01</t>
  </si>
  <si>
    <t xml:space="preserve">SO_ID</t>
  </si>
  <si>
    <t xml:space="preserve">Customer</t>
  </si>
  <si>
    <t xml:space="preserve">State</t>
  </si>
  <si>
    <t xml:space="preserve">Order_Qty</t>
  </si>
  <si>
    <t xml:space="preserve">Order_Date</t>
  </si>
  <si>
    <t xml:space="preserve">Delivery_Date</t>
  </si>
  <si>
    <t xml:space="preserve">Priority</t>
  </si>
  <si>
    <t xml:space="preserve">Status</t>
  </si>
  <si>
    <t xml:space="preserve">SO-2025-001</t>
  </si>
  <si>
    <t xml:space="preserve">Shyam Steel</t>
  </si>
  <si>
    <t xml:space="preserve">Jharkhand</t>
  </si>
  <si>
    <t xml:space="preserve">2026-04-06</t>
  </si>
  <si>
    <t xml:space="preserve">2026-04-19</t>
  </si>
  <si>
    <t xml:space="preserve">High</t>
  </si>
  <si>
    <t xml:space="preserve">Open</t>
  </si>
  <si>
    <t xml:space="preserve">SO-2025-002</t>
  </si>
  <si>
    <t xml:space="preserve">Tata Projects</t>
  </si>
  <si>
    <t xml:space="preserve">Odisha</t>
  </si>
  <si>
    <t xml:space="preserve">2026-04-13</t>
  </si>
  <si>
    <t xml:space="preserve">SO-2025-003</t>
  </si>
  <si>
    <t xml:space="preserve">2026-04-02</t>
  </si>
  <si>
    <t xml:space="preserve">2026-04-14</t>
  </si>
  <si>
    <t xml:space="preserve">Low</t>
  </si>
  <si>
    <t xml:space="preserve">SO-2025-004</t>
  </si>
  <si>
    <t xml:space="preserve">2026-04-20</t>
  </si>
  <si>
    <t xml:space="preserve">Medium</t>
  </si>
  <si>
    <t xml:space="preserve">SO-2025-005</t>
  </si>
  <si>
    <t xml:space="preserve">Larsen &amp; Toubro</t>
  </si>
  <si>
    <t xml:space="preserve">Gujarat</t>
  </si>
  <si>
    <t xml:space="preserve">2026-04-11</t>
  </si>
  <si>
    <t xml:space="preserve">SO-2025-006</t>
  </si>
  <si>
    <t xml:space="preserve">JSW Infra</t>
  </si>
  <si>
    <t xml:space="preserve">Maharashtra</t>
  </si>
  <si>
    <t xml:space="preserve">2026-04-17</t>
  </si>
  <si>
    <t xml:space="preserve">SO-2025-007</t>
  </si>
  <si>
    <t xml:space="preserve">NCC Ltd</t>
  </si>
  <si>
    <t xml:space="preserve">Andhra Pradesh</t>
  </si>
  <si>
    <t xml:space="preserve">2026-04-03</t>
  </si>
  <si>
    <t xml:space="preserve">SO-2025-008</t>
  </si>
  <si>
    <t xml:space="preserve">2026-04-18</t>
  </si>
  <si>
    <t xml:space="preserve">SO-2025-009</t>
  </si>
  <si>
    <t xml:space="preserve">SO-2025-010</t>
  </si>
  <si>
    <t xml:space="preserve">SO-2025-011</t>
  </si>
  <si>
    <t xml:space="preserve">2026-04-22</t>
  </si>
  <si>
    <t xml:space="preserve">SO-2025-012</t>
  </si>
  <si>
    <t xml:space="preserve">SO-2025-013</t>
  </si>
  <si>
    <t xml:space="preserve">SO-2025-014</t>
  </si>
  <si>
    <t xml:space="preserve">SO-2025-015</t>
  </si>
  <si>
    <t xml:space="preserve">SO-2025-016</t>
  </si>
  <si>
    <t xml:space="preserve">2026-04-21</t>
  </si>
  <si>
    <t xml:space="preserve">SO-2025-017</t>
  </si>
  <si>
    <t xml:space="preserve">2026-04-25</t>
  </si>
  <si>
    <t xml:space="preserve">SO-2025-018</t>
  </si>
  <si>
    <t xml:space="preserve">SO-2025-019</t>
  </si>
  <si>
    <t xml:space="preserve">SO-2025-020</t>
  </si>
  <si>
    <t xml:space="preserve">2026-04-10</t>
  </si>
  <si>
    <t xml:space="preserve">Resource_ID</t>
  </si>
  <si>
    <t xml:space="preserve">Resource_Name</t>
  </si>
  <si>
    <t xml:space="preserve">Resource_Type</t>
  </si>
  <si>
    <t xml:space="preserve">Shifts_Per_Day</t>
  </si>
  <si>
    <t xml:space="preserve">Hours_Per_Shift</t>
  </si>
  <si>
    <t xml:space="preserve">Avail_Hours_Day</t>
  </si>
  <si>
    <t xml:space="preserve">Changeover_Min</t>
  </si>
  <si>
    <t xml:space="preserve">Maintenance_Window</t>
  </si>
  <si>
    <t xml:space="preserve">EAF-01</t>
  </si>
  <si>
    <t xml:space="preserve">Electric Arc Furnace 1</t>
  </si>
  <si>
    <t xml:space="preserve">Melting</t>
  </si>
  <si>
    <t xml:space="preserve">02:00-03:00</t>
  </si>
  <si>
    <t xml:space="preserve">EAF-02</t>
  </si>
  <si>
    <t xml:space="preserve">Electric Arc Furnace 2</t>
  </si>
  <si>
    <t xml:space="preserve">03:00-04:00</t>
  </si>
  <si>
    <t xml:space="preserve">CCM-01</t>
  </si>
  <si>
    <t xml:space="preserve">Continuous Caster 1</t>
  </si>
  <si>
    <t xml:space="preserve">Casting</t>
  </si>
  <si>
    <t xml:space="preserve">01:00-02:00</t>
  </si>
  <si>
    <t xml:space="preserve">CCM-02</t>
  </si>
  <si>
    <t xml:space="preserve">Continuous Caster 2</t>
  </si>
  <si>
    <t xml:space="preserve">04:00-05:00</t>
  </si>
  <si>
    <t xml:space="preserve">RM-01</t>
  </si>
  <si>
    <t xml:space="preserve">Rolling Mill 1</t>
  </si>
  <si>
    <t xml:space="preserve">Rolling</t>
  </si>
  <si>
    <t xml:space="preserve">00:00-01:00</t>
  </si>
  <si>
    <t xml:space="preserve">RM-02</t>
  </si>
  <si>
    <t xml:space="preserve">Rolling Mill 2</t>
  </si>
  <si>
    <t xml:space="preserve">WR-01</t>
  </si>
  <si>
    <t xml:space="preserve">Wire Rod Mill</t>
  </si>
  <si>
    <t xml:space="preserve">00:00-02:00</t>
  </si>
  <si>
    <t xml:space="preserve">Routing_ID</t>
  </si>
  <si>
    <t xml:space="preserve">Operation_Seq</t>
  </si>
  <si>
    <t xml:space="preserve">Operation</t>
  </si>
  <si>
    <t xml:space="preserve">Cycle_Time_Hr_MT</t>
  </si>
  <si>
    <t xml:space="preserve">Setup_Time_Hr</t>
  </si>
  <si>
    <t xml:space="preserve">Min_Batch_MT</t>
  </si>
  <si>
    <t xml:space="preserve">Max_Batch_MT</t>
  </si>
  <si>
    <t xml:space="preserve">RT-001</t>
  </si>
  <si>
    <t xml:space="preserve">RT-002</t>
  </si>
  <si>
    <t xml:space="preserve">RT-003</t>
  </si>
  <si>
    <t xml:space="preserve">RT-004</t>
  </si>
  <si>
    <t xml:space="preserve">RT-005</t>
  </si>
  <si>
    <t xml:space="preserve">RT-006</t>
  </si>
  <si>
    <t xml:space="preserve">RT-007</t>
  </si>
  <si>
    <t xml:space="preserve">RT-008</t>
  </si>
  <si>
    <t xml:space="preserve">RT-009</t>
  </si>
  <si>
    <t xml:space="preserve">RT-010</t>
  </si>
  <si>
    <t xml:space="preserve">RT-011</t>
  </si>
  <si>
    <t xml:space="preserve">RT-012</t>
  </si>
  <si>
    <t xml:space="preserve">RT-013</t>
  </si>
  <si>
    <t xml:space="preserve">From \ To (minutes)</t>
  </si>
  <si>
    <t xml:space="preserve">Avail_Hrs</t>
  </si>
  <si>
    <t xml:space="preserve">01-Apr</t>
  </si>
  <si>
    <t xml:space="preserve">02-Apr</t>
  </si>
  <si>
    <t xml:space="preserve">03-Apr</t>
  </si>
  <si>
    <t xml:space="preserve">04-Apr</t>
  </si>
  <si>
    <t xml:space="preserve">05-Apr</t>
  </si>
  <si>
    <t xml:space="preserve">06-Apr</t>
  </si>
  <si>
    <t xml:space="preserve">07-Apr</t>
  </si>
  <si>
    <t xml:space="preserve">08-Apr</t>
  </si>
  <si>
    <t xml:space="preserve">09-Apr</t>
  </si>
  <si>
    <t xml:space="preserve">10-Apr</t>
  </si>
  <si>
    <t xml:space="preserve">11-Apr</t>
  </si>
  <si>
    <t xml:space="preserve">12-Apr</t>
  </si>
  <si>
    <t xml:space="preserve">13-Apr</t>
  </si>
  <si>
    <t xml:space="preserve">14-Apr</t>
  </si>
  <si>
    <t xml:space="preserve">Utilisation %</t>
  </si>
  <si>
    <t xml:space="preserve">Job_ID</t>
  </si>
  <si>
    <t xml:space="preserve">Planned_Start</t>
  </si>
  <si>
    <t xml:space="preserve">Planned_End</t>
  </si>
  <si>
    <t xml:space="preserve">Duration_Hrs</t>
  </si>
  <si>
    <t xml:space="preserve">Qty_MT</t>
  </si>
  <si>
    <t xml:space="preserve">Actual_Start</t>
  </si>
  <si>
    <t xml:space="preserve">Actual_End</t>
  </si>
  <si>
    <t xml:space="preserve">Variance_Hrs</t>
  </si>
  <si>
    <t xml:space="preserve">← Schedule will be populated by Python engine</t>
  </si>
  <si>
    <t xml:space="preserve">Theo_Duration_Hrs</t>
  </si>
  <si>
    <t xml:space="preserve">Actual_Duration_Hrs</t>
  </si>
  <si>
    <t xml:space="preserve">Variance_%</t>
  </si>
  <si>
    <t xml:space="preserve">Flag</t>
  </si>
  <si>
    <t xml:space="preserve">← Populated after actuals are logged</t>
  </si>
  <si>
    <t xml:space="preserve">What-If Scenario Parameters</t>
  </si>
  <si>
    <t xml:space="preserve">Parameter</t>
  </si>
  <si>
    <t xml:space="preserve">Value</t>
  </si>
  <si>
    <t xml:space="preserve">Description</t>
  </si>
  <si>
    <t xml:space="preserve">Demand Spike %</t>
  </si>
  <si>
    <t xml:space="preserve">% increase applied to all SO quantities</t>
  </si>
  <si>
    <t xml:space="preserve">Machine Down (Resource_ID)</t>
  </si>
  <si>
    <t xml:space="preserve">Enter resource ID to simulate downtime</t>
  </si>
  <si>
    <t xml:space="preserve">Machine Down (Hours)</t>
  </si>
  <si>
    <t xml:space="preserve">Duration of downtime</t>
  </si>
  <si>
    <t xml:space="preserve">Inventory Shortage SKU</t>
  </si>
  <si>
    <t xml:space="preserve">SKU_ID with shortage</t>
  </si>
  <si>
    <t xml:space="preserve">Inventory Shortage Qty</t>
  </si>
  <si>
    <t xml:space="preserve">Quantity to reduce from available</t>
  </si>
  <si>
    <t xml:space="preserve">Extra Shift (Resource_ID)</t>
  </si>
  <si>
    <t xml:space="preserve">Resource to add extra shift</t>
  </si>
  <si>
    <t xml:space="preserve">Extra Shift (Hours)</t>
  </si>
  <si>
    <t xml:space="preserve">Additional hours</t>
  </si>
  <si>
    <t xml:space="preserve">Safety Buffer (Hrs)</t>
  </si>
  <si>
    <t xml:space="preserve">Buffer time added between jobs</t>
  </si>
  <si>
    <t xml:space="preserve">APS KPI Dashboard  —  Steel / Metal Plant</t>
  </si>
  <si>
    <t xml:space="preserve">KPI</t>
  </si>
  <si>
    <t xml:space="preserve">Remark</t>
  </si>
  <si>
    <t xml:space="preserve">OTIF %</t>
  </si>
  <si>
    <t xml:space="preserve">Target: &gt;95%</t>
  </si>
  <si>
    <t xml:space="preserve">Avg Machine Utilisation %</t>
  </si>
  <si>
    <t xml:space="preserve">← from Capacity_Map</t>
  </si>
  <si>
    <t xml:space="preserve">Target: 80-90%</t>
  </si>
  <si>
    <t xml:space="preserve">Total Changeover Hrs</t>
  </si>
  <si>
    <t xml:space="preserve">← from Schedule_Output</t>
  </si>
  <si>
    <t xml:space="preserve">Minimize</t>
  </si>
  <si>
    <t xml:space="preserve">Total Orders Scheduled</t>
  </si>
  <si>
    <t xml:space="preserve">Auto</t>
  </si>
  <si>
    <t xml:space="preserve">Orders at Risk (Late)</t>
  </si>
  <si>
    <t xml:space="preserve">← engine flag</t>
  </si>
  <si>
    <t xml:space="preserve">Alert if &gt;0</t>
  </si>
  <si>
    <t xml:space="preserve">Avg Variance Hrs</t>
  </si>
  <si>
    <t xml:space="preserve">← from Theo_vs_Actual</t>
  </si>
  <si>
    <t xml:space="preserve">Target: &lt;1hr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</si>
</sst>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EEF2F7"/>
        <bgColor rgb="FFFFFFFF"/>
      </patternFill>
    </fill>
    <fill>
      <patternFill patternType="solid">
        <fgColor rgb="FFD6E4F0"/>
        <bgColor rgb="FFEEF2F7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EF2F7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2"/>
    <col collapsed="false" customWidth="true" hidden="false" outlineLevel="0" max="4" min="4" style="0" width="52"/>
    <col collapsed="false" customWidth="true" hidden="false" outlineLevel="0" max="5" min="5" style="0" width="16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6" customFormat="false" ht="27.75" hidden="false" customHeight="true" outlineLevel="0" collapsed="false">
      <c r="B6" s="3" t="s">
        <v>2</v>
      </c>
      <c r="D6" s="4" t="s">
        <v>3</v>
      </c>
      <c r="E6" s="4"/>
    </row>
    <row r="9" customFormat="false" ht="27.75" hidden="false" customHeight="true" outlineLevel="0" collapsed="false">
      <c r="B9" s="3" t="s">
        <v>4</v>
      </c>
      <c r="D9" s="4" t="s">
        <v>5</v>
      </c>
      <c r="E9" s="4"/>
    </row>
    <row r="12" customFormat="false" ht="27.75" hidden="false" customHeight="true" outlineLevel="0" collapsed="false">
      <c r="B12" s="3" t="s">
        <v>6</v>
      </c>
      <c r="D12" s="4" t="s">
        <v>7</v>
      </c>
      <c r="E12" s="4"/>
    </row>
    <row r="15" customFormat="false" ht="27.75" hidden="false" customHeight="true" outlineLevel="0" collapsed="false">
      <c r="B15" s="3" t="s">
        <v>8</v>
      </c>
      <c r="D15" s="4" t="s">
        <v>9</v>
      </c>
      <c r="E15" s="4"/>
    </row>
    <row r="19" customFormat="false" ht="27.75" hidden="false" customHeight="true" outlineLevel="0" collapsed="false">
      <c r="B19" s="5" t="s">
        <v>10</v>
      </c>
      <c r="D19" s="4" t="s">
        <v>11</v>
      </c>
      <c r="E19" s="4"/>
    </row>
    <row r="21" customFormat="false" ht="15" hidden="false" customHeight="false" outlineLevel="0" collapsed="false">
      <c r="B21" s="6" t="s">
        <v>12</v>
      </c>
      <c r="D21" s="7" t="s">
        <v>13</v>
      </c>
      <c r="E21" s="7"/>
    </row>
    <row r="23" customFormat="false" ht="15" hidden="false" customHeight="true" outlineLevel="0" collapsed="false">
      <c r="B23" s="8" t="s">
        <v>14</v>
      </c>
      <c r="C23" s="8"/>
      <c r="D23" s="8"/>
      <c r="E23" s="8"/>
    </row>
    <row r="24" customFormat="false" ht="15" hidden="false" customHeight="false" outlineLevel="0" collapsed="false">
      <c r="B24" s="8"/>
      <c r="C24" s="8"/>
      <c r="D24" s="8"/>
      <c r="E24" s="8"/>
    </row>
    <row r="25" customFormat="false" ht="15" hidden="false" customHeight="false" outlineLevel="0" collapsed="false">
      <c r="B25" s="8"/>
      <c r="C25" s="8"/>
      <c r="D25" s="8"/>
      <c r="E25" s="8"/>
    </row>
    <row r="26" customFormat="false" ht="15" hidden="false" customHeight="false" outlineLevel="0" collapsed="false">
      <c r="B26" s="8"/>
      <c r="C26" s="8"/>
      <c r="D26" s="8"/>
      <c r="E26" s="8"/>
    </row>
  </sheetData>
  <mergeCells count="9">
    <mergeCell ref="B2:F2"/>
    <mergeCell ref="B3:F3"/>
    <mergeCell ref="D6:E6"/>
    <mergeCell ref="D9:E9"/>
    <mergeCell ref="D12:E12"/>
    <mergeCell ref="D15:E15"/>
    <mergeCell ref="D19:E19"/>
    <mergeCell ref="D21:E21"/>
    <mergeCell ref="B23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4"/>
    <col collapsed="false" customWidth="true" hidden="false" outlineLevel="0" max="2" min="2" style="9" width="28"/>
    <col collapsed="false" customWidth="true" hidden="false" outlineLevel="0" max="3" min="3" style="9" width="18"/>
    <col collapsed="false" customWidth="true" hidden="false" outlineLevel="0" max="4" min="4" style="9" width="8"/>
    <col collapsed="false" customWidth="true" hidden="false" outlineLevel="0" max="6" min="5" style="9" width="16"/>
    <col collapsed="false" customWidth="true" hidden="false" outlineLevel="0" max="7" min="7" style="9" width="14"/>
    <col collapsed="false" customWidth="true" hidden="false" outlineLevel="0" max="8" min="8" style="9" width="16"/>
    <col collapsed="false" customWidth="true" hidden="false" outlineLevel="0" max="9" min="9" style="9" width="10"/>
  </cols>
  <sheetData>
    <row r="1" customFormat="false" ht="15" hidden="false" customHeight="true" outlineLevel="0" collapsed="false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</row>
    <row r="2" customFormat="false" ht="15" hidden="false" customHeight="true" outlineLevel="0" collapsed="false">
      <c r="A2" s="11" t="s">
        <v>24</v>
      </c>
      <c r="B2" s="11" t="s">
        <v>25</v>
      </c>
      <c r="C2" s="11" t="s">
        <v>26</v>
      </c>
      <c r="D2" s="11" t="s">
        <v>27</v>
      </c>
      <c r="E2" s="12" t="n">
        <v>3</v>
      </c>
      <c r="F2" s="12" t="n">
        <v>50</v>
      </c>
      <c r="G2" s="12" t="n">
        <v>20</v>
      </c>
      <c r="H2" s="12"/>
      <c r="I2" s="13" t="b">
        <f aca="false">TRUE()</f>
        <v>1</v>
      </c>
    </row>
    <row r="3" customFormat="false" ht="15" hidden="false" customHeight="true" outlineLevel="0" collapsed="false">
      <c r="A3" s="11" t="s">
        <v>28</v>
      </c>
      <c r="B3" s="11" t="s">
        <v>29</v>
      </c>
      <c r="C3" s="11" t="s">
        <v>26</v>
      </c>
      <c r="D3" s="11" t="s">
        <v>27</v>
      </c>
      <c r="E3" s="12" t="n">
        <v>3</v>
      </c>
      <c r="F3" s="12" t="n">
        <v>50</v>
      </c>
      <c r="G3" s="12" t="n">
        <v>20</v>
      </c>
      <c r="H3" s="12"/>
      <c r="I3" s="13" t="b">
        <f aca="false">TRUE()</f>
        <v>1</v>
      </c>
    </row>
    <row r="4" customFormat="false" ht="15" hidden="false" customHeight="true" outlineLevel="0" collapsed="false">
      <c r="A4" s="11" t="s">
        <v>30</v>
      </c>
      <c r="B4" s="11" t="s">
        <v>31</v>
      </c>
      <c r="C4" s="11" t="s">
        <v>26</v>
      </c>
      <c r="D4" s="11" t="s">
        <v>27</v>
      </c>
      <c r="E4" s="12" t="n">
        <v>2</v>
      </c>
      <c r="F4" s="12" t="n">
        <v>25</v>
      </c>
      <c r="G4" s="12" t="n">
        <v>15</v>
      </c>
      <c r="H4" s="12"/>
      <c r="I4" s="13" t="b">
        <f aca="false">TRUE()</f>
        <v>1</v>
      </c>
    </row>
    <row r="5" customFormat="false" ht="15" hidden="false" customHeight="true" outlineLevel="0" collapsed="false">
      <c r="A5" s="11" t="s">
        <v>32</v>
      </c>
      <c r="B5" s="11" t="s">
        <v>33</v>
      </c>
      <c r="C5" s="11" t="s">
        <v>26</v>
      </c>
      <c r="D5" s="11" t="s">
        <v>27</v>
      </c>
      <c r="E5" s="12" t="n">
        <v>2</v>
      </c>
      <c r="F5" s="12" t="n">
        <v>25</v>
      </c>
      <c r="G5" s="12" t="n">
        <v>15</v>
      </c>
      <c r="H5" s="12"/>
      <c r="I5" s="13" t="b">
        <f aca="false">TRUE()</f>
        <v>1</v>
      </c>
    </row>
    <row r="6" customFormat="false" ht="15" hidden="false" customHeight="true" outlineLevel="0" collapsed="false">
      <c r="A6" s="11" t="s">
        <v>34</v>
      </c>
      <c r="B6" s="11" t="s">
        <v>35</v>
      </c>
      <c r="C6" s="11" t="s">
        <v>26</v>
      </c>
      <c r="D6" s="11" t="s">
        <v>27</v>
      </c>
      <c r="E6" s="12" t="n">
        <v>4</v>
      </c>
      <c r="F6" s="12" t="n">
        <v>30</v>
      </c>
      <c r="G6" s="12" t="n">
        <v>10</v>
      </c>
      <c r="H6" s="12"/>
      <c r="I6" s="13" t="b">
        <f aca="false">TRUE()</f>
        <v>1</v>
      </c>
    </row>
    <row r="7" customFormat="false" ht="15" hidden="false" customHeight="true" outlineLevel="0" collapsed="false">
      <c r="A7" s="11" t="s">
        <v>36</v>
      </c>
      <c r="B7" s="11" t="s">
        <v>37</v>
      </c>
      <c r="C7" s="11" t="s">
        <v>38</v>
      </c>
      <c r="D7" s="11" t="s">
        <v>27</v>
      </c>
      <c r="E7" s="12" t="n">
        <v>1</v>
      </c>
      <c r="F7" s="12" t="n">
        <v>30</v>
      </c>
      <c r="G7" s="12" t="n">
        <v>0</v>
      </c>
      <c r="H7" s="12"/>
      <c r="I7" s="13" t="b">
        <f aca="false">TRUE()</f>
        <v>1</v>
      </c>
    </row>
    <row r="8" customFormat="false" ht="15" hidden="false" customHeight="true" outlineLevel="0" collapsed="false">
      <c r="A8" s="11" t="s">
        <v>39</v>
      </c>
      <c r="B8" s="11" t="s">
        <v>40</v>
      </c>
      <c r="C8" s="11" t="s">
        <v>38</v>
      </c>
      <c r="D8" s="11" t="s">
        <v>27</v>
      </c>
      <c r="E8" s="12" t="n">
        <v>1</v>
      </c>
      <c r="F8" s="12" t="n">
        <v>20</v>
      </c>
      <c r="G8" s="12" t="n">
        <v>0</v>
      </c>
      <c r="H8" s="12"/>
      <c r="I8" s="13" t="b">
        <f aca="false">TRUE()</f>
        <v>1</v>
      </c>
    </row>
    <row r="9" customFormat="false" ht="15" hidden="false" customHeight="true" outlineLevel="0" collapsed="false">
      <c r="A9" s="11" t="s">
        <v>41</v>
      </c>
      <c r="B9" s="11" t="s">
        <v>42</v>
      </c>
      <c r="C9" s="11" t="s">
        <v>43</v>
      </c>
      <c r="D9" s="11" t="s">
        <v>27</v>
      </c>
      <c r="E9" s="12" t="n">
        <v>7</v>
      </c>
      <c r="F9" s="12" t="n">
        <v>100</v>
      </c>
      <c r="G9" s="12" t="n">
        <v>50</v>
      </c>
      <c r="H9" s="12"/>
      <c r="I9" s="13" t="b">
        <f aca="false">TRUE()</f>
        <v>1</v>
      </c>
    </row>
    <row r="10" customFormat="false" ht="15" hidden="false" customHeight="true" outlineLevel="0" collapsed="false">
      <c r="A10" s="11" t="s">
        <v>44</v>
      </c>
      <c r="B10" s="11" t="s">
        <v>45</v>
      </c>
      <c r="C10" s="11" t="s">
        <v>43</v>
      </c>
      <c r="D10" s="11" t="s">
        <v>27</v>
      </c>
      <c r="E10" s="12" t="n">
        <v>7</v>
      </c>
      <c r="F10" s="12" t="n">
        <v>100</v>
      </c>
      <c r="G10" s="12" t="n">
        <v>30</v>
      </c>
      <c r="H10" s="12"/>
      <c r="I10" s="13" t="b">
        <f aca="false">TRUE()</f>
        <v>1</v>
      </c>
    </row>
    <row r="11" customFormat="false" ht="15" hidden="false" customHeight="true" outlineLevel="0" collapsed="false">
      <c r="A11" s="11" t="s">
        <v>46</v>
      </c>
      <c r="B11" s="11" t="s">
        <v>47</v>
      </c>
      <c r="C11" s="11" t="s">
        <v>43</v>
      </c>
      <c r="D11" s="11" t="s">
        <v>27</v>
      </c>
      <c r="E11" s="12" t="n">
        <v>5</v>
      </c>
      <c r="F11" s="12" t="n">
        <v>80</v>
      </c>
      <c r="G11" s="12" t="n">
        <v>40</v>
      </c>
      <c r="H11" s="12"/>
      <c r="I11" s="13" t="b">
        <f aca="false">TRUE()</f>
        <v>1</v>
      </c>
    </row>
    <row r="12" customFormat="false" ht="15" hidden="false" customHeight="true" outlineLevel="0" collapsed="false">
      <c r="A12" s="11" t="s">
        <v>48</v>
      </c>
      <c r="B12" s="11" t="s">
        <v>49</v>
      </c>
      <c r="C12" s="11" t="s">
        <v>43</v>
      </c>
      <c r="D12" s="11" t="s">
        <v>50</v>
      </c>
      <c r="E12" s="12" t="n">
        <v>10</v>
      </c>
      <c r="F12" s="12" t="n">
        <v>500</v>
      </c>
      <c r="G12" s="12" t="n">
        <v>200</v>
      </c>
      <c r="H12" s="12" t="n">
        <v>180</v>
      </c>
      <c r="I12" s="13" t="b">
        <f aca="false">TRUE()</f>
        <v>1</v>
      </c>
    </row>
    <row r="13" customFormat="false" ht="15" hidden="false" customHeight="true" outlineLevel="0" collapsed="false">
      <c r="A13" s="11" t="s">
        <v>51</v>
      </c>
      <c r="B13" s="11" t="s">
        <v>52</v>
      </c>
      <c r="C13" s="11" t="s">
        <v>43</v>
      </c>
      <c r="D13" s="11" t="s">
        <v>53</v>
      </c>
      <c r="E13" s="12" t="n">
        <v>14</v>
      </c>
      <c r="F13" s="12" t="n">
        <v>20</v>
      </c>
      <c r="G13" s="12" t="n">
        <v>10</v>
      </c>
      <c r="H13" s="12"/>
      <c r="I13" s="1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2"/>
    <col collapsed="false" customWidth="true" hidden="false" outlineLevel="0" max="2" min="2" style="9" width="14"/>
    <col collapsed="false" customWidth="true" hidden="false" outlineLevel="0" max="3" min="3" style="9" width="22"/>
    <col collapsed="false" customWidth="true" hidden="false" outlineLevel="0" max="4" min="4" style="9" width="8"/>
    <col collapsed="false" customWidth="true" hidden="false" outlineLevel="0" max="5" min="5" style="9" width="14"/>
    <col collapsed="false" customWidth="true" hidden="false" outlineLevel="0" max="6" min="6" style="9" width="22"/>
    <col collapsed="false" customWidth="true" hidden="false" outlineLevel="0" max="7" min="7" style="9" width="10"/>
    <col collapsed="false" customWidth="true" hidden="false" outlineLevel="0" max="8" min="8" style="9" width="8"/>
    <col collapsed="false" customWidth="true" hidden="false" outlineLevel="0" max="9" min="9" style="9" width="10"/>
    <col collapsed="false" customWidth="true" hidden="false" outlineLevel="0" max="10" min="10" style="9" width="16"/>
  </cols>
  <sheetData>
    <row r="1" customFormat="false" ht="15" hidden="false" customHeight="true" outlineLevel="0" collapsed="false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18</v>
      </c>
      <c r="I1" s="10" t="s">
        <v>61</v>
      </c>
      <c r="J1" s="10" t="s">
        <v>62</v>
      </c>
    </row>
    <row r="2" customFormat="false" ht="15" hidden="false" customHeight="true" outlineLevel="0" collapsed="false">
      <c r="A2" s="11" t="s">
        <v>63</v>
      </c>
      <c r="B2" s="11" t="s">
        <v>24</v>
      </c>
      <c r="C2" s="11" t="s">
        <v>25</v>
      </c>
      <c r="D2" s="11" t="n">
        <v>1</v>
      </c>
      <c r="E2" s="11" t="s">
        <v>36</v>
      </c>
      <c r="F2" s="11" t="s">
        <v>37</v>
      </c>
      <c r="G2" s="12" t="n">
        <v>1.05</v>
      </c>
      <c r="H2" s="11" t="s">
        <v>27</v>
      </c>
      <c r="I2" s="12" t="n">
        <v>5</v>
      </c>
      <c r="J2" s="11" t="s">
        <v>64</v>
      </c>
    </row>
    <row r="3" customFormat="false" ht="15" hidden="false" customHeight="true" outlineLevel="0" collapsed="false">
      <c r="A3" s="11" t="s">
        <v>65</v>
      </c>
      <c r="B3" s="11" t="s">
        <v>28</v>
      </c>
      <c r="C3" s="11" t="s">
        <v>29</v>
      </c>
      <c r="D3" s="11" t="n">
        <v>1</v>
      </c>
      <c r="E3" s="11" t="s">
        <v>36</v>
      </c>
      <c r="F3" s="11" t="s">
        <v>37</v>
      </c>
      <c r="G3" s="12" t="n">
        <v>1.05</v>
      </c>
      <c r="H3" s="11" t="s">
        <v>27</v>
      </c>
      <c r="I3" s="12" t="n">
        <v>5</v>
      </c>
      <c r="J3" s="11" t="s">
        <v>64</v>
      </c>
    </row>
    <row r="4" customFormat="false" ht="15" hidden="false" customHeight="true" outlineLevel="0" collapsed="false">
      <c r="A4" s="11" t="s">
        <v>66</v>
      </c>
      <c r="B4" s="11" t="s">
        <v>30</v>
      </c>
      <c r="C4" s="11" t="s">
        <v>31</v>
      </c>
      <c r="D4" s="11" t="n">
        <v>1</v>
      </c>
      <c r="E4" s="11" t="s">
        <v>39</v>
      </c>
      <c r="F4" s="11" t="s">
        <v>40</v>
      </c>
      <c r="G4" s="12" t="n">
        <v>1.03</v>
      </c>
      <c r="H4" s="11" t="s">
        <v>27</v>
      </c>
      <c r="I4" s="12" t="n">
        <v>3</v>
      </c>
      <c r="J4" s="11" t="s">
        <v>64</v>
      </c>
    </row>
    <row r="5" customFormat="false" ht="15" hidden="false" customHeight="true" outlineLevel="0" collapsed="false">
      <c r="A5" s="11" t="s">
        <v>67</v>
      </c>
      <c r="B5" s="11" t="s">
        <v>32</v>
      </c>
      <c r="C5" s="11" t="s">
        <v>33</v>
      </c>
      <c r="D5" s="11" t="n">
        <v>1</v>
      </c>
      <c r="E5" s="11" t="s">
        <v>39</v>
      </c>
      <c r="F5" s="11" t="s">
        <v>40</v>
      </c>
      <c r="G5" s="12" t="n">
        <v>1.03</v>
      </c>
      <c r="H5" s="11" t="s">
        <v>27</v>
      </c>
      <c r="I5" s="12" t="n">
        <v>3</v>
      </c>
      <c r="J5" s="11" t="s">
        <v>64</v>
      </c>
    </row>
    <row r="6" customFormat="false" ht="15" hidden="false" customHeight="true" outlineLevel="0" collapsed="false">
      <c r="A6" s="11" t="s">
        <v>68</v>
      </c>
      <c r="B6" s="11" t="s">
        <v>34</v>
      </c>
      <c r="C6" s="11" t="s">
        <v>35</v>
      </c>
      <c r="D6" s="11" t="n">
        <v>1</v>
      </c>
      <c r="E6" s="11" t="s">
        <v>39</v>
      </c>
      <c r="F6" s="11" t="s">
        <v>40</v>
      </c>
      <c r="G6" s="12" t="n">
        <v>1.04</v>
      </c>
      <c r="H6" s="11" t="s">
        <v>27</v>
      </c>
      <c r="I6" s="12" t="n">
        <v>4</v>
      </c>
      <c r="J6" s="11" t="s">
        <v>64</v>
      </c>
    </row>
    <row r="7" customFormat="false" ht="15" hidden="false" customHeight="true" outlineLevel="0" collapsed="false">
      <c r="A7" s="11" t="s">
        <v>69</v>
      </c>
      <c r="B7" s="11" t="s">
        <v>36</v>
      </c>
      <c r="C7" s="11" t="s">
        <v>37</v>
      </c>
      <c r="D7" s="11" t="n">
        <v>2</v>
      </c>
      <c r="E7" s="11" t="s">
        <v>41</v>
      </c>
      <c r="F7" s="11" t="s">
        <v>42</v>
      </c>
      <c r="G7" s="12" t="n">
        <v>0.6</v>
      </c>
      <c r="H7" s="11" t="s">
        <v>27</v>
      </c>
      <c r="I7" s="12" t="n">
        <v>2</v>
      </c>
      <c r="J7" s="11" t="s">
        <v>64</v>
      </c>
    </row>
    <row r="8" customFormat="false" ht="15" hidden="false" customHeight="true" outlineLevel="0" collapsed="false">
      <c r="A8" s="11" t="s">
        <v>70</v>
      </c>
      <c r="B8" s="11" t="s">
        <v>36</v>
      </c>
      <c r="C8" s="11" t="s">
        <v>37</v>
      </c>
      <c r="D8" s="11" t="n">
        <v>2</v>
      </c>
      <c r="E8" s="11" t="s">
        <v>44</v>
      </c>
      <c r="F8" s="11" t="s">
        <v>45</v>
      </c>
      <c r="G8" s="12" t="n">
        <v>0.2</v>
      </c>
      <c r="H8" s="11" t="s">
        <v>27</v>
      </c>
      <c r="I8" s="12" t="n">
        <v>2</v>
      </c>
      <c r="J8" s="11" t="s">
        <v>64</v>
      </c>
    </row>
    <row r="9" customFormat="false" ht="15" hidden="false" customHeight="true" outlineLevel="0" collapsed="false">
      <c r="A9" s="11" t="s">
        <v>71</v>
      </c>
      <c r="B9" s="11" t="s">
        <v>36</v>
      </c>
      <c r="C9" s="11" t="s">
        <v>37</v>
      </c>
      <c r="D9" s="11" t="n">
        <v>2</v>
      </c>
      <c r="E9" s="11" t="s">
        <v>46</v>
      </c>
      <c r="F9" s="11" t="s">
        <v>47</v>
      </c>
      <c r="G9" s="12" t="n">
        <v>0.25</v>
      </c>
      <c r="H9" s="11" t="s">
        <v>27</v>
      </c>
      <c r="I9" s="12" t="n">
        <v>2</v>
      </c>
      <c r="J9" s="11" t="s">
        <v>64</v>
      </c>
    </row>
    <row r="10" customFormat="false" ht="15" hidden="false" customHeight="true" outlineLevel="0" collapsed="false">
      <c r="A10" s="11" t="s">
        <v>72</v>
      </c>
      <c r="B10" s="11" t="s">
        <v>36</v>
      </c>
      <c r="C10" s="11" t="s">
        <v>37</v>
      </c>
      <c r="D10" s="11" t="n">
        <v>2</v>
      </c>
      <c r="E10" s="11" t="s">
        <v>48</v>
      </c>
      <c r="F10" s="11" t="s">
        <v>49</v>
      </c>
      <c r="G10" s="12" t="n">
        <v>8</v>
      </c>
      <c r="H10" s="11" t="s">
        <v>50</v>
      </c>
      <c r="I10" s="12" t="n">
        <v>1</v>
      </c>
      <c r="J10" s="11" t="s">
        <v>64</v>
      </c>
    </row>
    <row r="11" customFormat="false" ht="15" hidden="false" customHeight="true" outlineLevel="0" collapsed="false">
      <c r="A11" s="11" t="s">
        <v>73</v>
      </c>
      <c r="B11" s="11" t="s">
        <v>36</v>
      </c>
      <c r="C11" s="11" t="s">
        <v>37</v>
      </c>
      <c r="D11" s="11" t="n">
        <v>2</v>
      </c>
      <c r="E11" s="11" t="s">
        <v>51</v>
      </c>
      <c r="F11" s="11" t="s">
        <v>52</v>
      </c>
      <c r="G11" s="12" t="n">
        <v>2</v>
      </c>
      <c r="H11" s="11" t="s">
        <v>53</v>
      </c>
      <c r="I11" s="12" t="n">
        <v>0</v>
      </c>
      <c r="J11" s="11" t="s">
        <v>64</v>
      </c>
    </row>
    <row r="12" customFormat="false" ht="15" hidden="false" customHeight="true" outlineLevel="0" collapsed="false">
      <c r="A12" s="11" t="s">
        <v>74</v>
      </c>
      <c r="B12" s="11" t="s">
        <v>39</v>
      </c>
      <c r="C12" s="11" t="s">
        <v>40</v>
      </c>
      <c r="D12" s="11" t="n">
        <v>2</v>
      </c>
      <c r="E12" s="11" t="s">
        <v>36</v>
      </c>
      <c r="F12" s="11" t="s">
        <v>37</v>
      </c>
      <c r="G12" s="12" t="n">
        <v>1.02</v>
      </c>
      <c r="H12" s="11" t="s">
        <v>27</v>
      </c>
      <c r="I12" s="12" t="n">
        <v>2</v>
      </c>
      <c r="J12" s="1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4"/>
    <col collapsed="false" customWidth="true" hidden="false" outlineLevel="0" max="2" min="2" style="9" width="28"/>
    <col collapsed="false" customWidth="true" hidden="false" outlineLevel="0" max="3" min="3" style="9" width="18"/>
    <col collapsed="false" customWidth="true" hidden="false" outlineLevel="0" max="4" min="4" style="9" width="8"/>
    <col collapsed="false" customWidth="true" hidden="false" outlineLevel="0" max="5" min="5" style="9" width="14"/>
    <col collapsed="false" customWidth="true" hidden="false" outlineLevel="0" max="6" min="6" style="9" width="12"/>
    <col collapsed="false" customWidth="true" hidden="false" outlineLevel="0" max="7" min="7" style="9" width="16"/>
    <col collapsed="false" customWidth="true" hidden="false" outlineLevel="0" max="9" min="8" style="9" width="14"/>
    <col collapsed="false" customWidth="true" hidden="false" outlineLevel="0" max="10" min="10" style="9" width="16"/>
  </cols>
  <sheetData>
    <row r="1" customFormat="false" ht="15" hidden="false" customHeight="true" outlineLevel="0" collapsed="false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75</v>
      </c>
      <c r="F1" s="10" t="s">
        <v>76</v>
      </c>
      <c r="G1" s="10" t="s">
        <v>77</v>
      </c>
      <c r="H1" s="10" t="s">
        <v>78</v>
      </c>
      <c r="I1" s="10" t="s">
        <v>79</v>
      </c>
      <c r="J1" s="10" t="s">
        <v>80</v>
      </c>
    </row>
    <row r="2" customFormat="false" ht="15" hidden="false" customHeight="true" outlineLevel="0" collapsed="false">
      <c r="A2" s="11" t="s">
        <v>24</v>
      </c>
      <c r="B2" s="11" t="s">
        <v>25</v>
      </c>
      <c r="C2" s="11" t="s">
        <v>26</v>
      </c>
      <c r="D2" s="11" t="s">
        <v>27</v>
      </c>
      <c r="E2" s="12" t="n">
        <v>120</v>
      </c>
      <c r="F2" s="12" t="n">
        <v>30</v>
      </c>
      <c r="G2" s="12" t="n">
        <v>0</v>
      </c>
      <c r="H2" s="12" t="n">
        <v>50</v>
      </c>
      <c r="I2" s="14" t="n">
        <f aca="false">E2+F2+G2-H2</f>
        <v>100</v>
      </c>
      <c r="J2" s="11" t="s">
        <v>81</v>
      </c>
    </row>
    <row r="3" customFormat="false" ht="15" hidden="false" customHeight="true" outlineLevel="0" collapsed="false">
      <c r="A3" s="11" t="s">
        <v>28</v>
      </c>
      <c r="B3" s="11" t="s">
        <v>29</v>
      </c>
      <c r="C3" s="11" t="s">
        <v>26</v>
      </c>
      <c r="D3" s="11" t="s">
        <v>27</v>
      </c>
      <c r="E3" s="12" t="n">
        <v>80</v>
      </c>
      <c r="F3" s="12" t="n">
        <v>20</v>
      </c>
      <c r="G3" s="12" t="n">
        <v>0</v>
      </c>
      <c r="H3" s="12" t="n">
        <v>30</v>
      </c>
      <c r="I3" s="14" t="n">
        <f aca="false">E3+F3+G3-H3</f>
        <v>70</v>
      </c>
      <c r="J3" s="11" t="s">
        <v>81</v>
      </c>
    </row>
    <row r="4" customFormat="false" ht="15" hidden="false" customHeight="true" outlineLevel="0" collapsed="false">
      <c r="A4" s="11" t="s">
        <v>30</v>
      </c>
      <c r="B4" s="11" t="s">
        <v>31</v>
      </c>
      <c r="C4" s="11" t="s">
        <v>26</v>
      </c>
      <c r="D4" s="11" t="s">
        <v>27</v>
      </c>
      <c r="E4" s="12" t="n">
        <v>200</v>
      </c>
      <c r="F4" s="12" t="n">
        <v>50</v>
      </c>
      <c r="G4" s="12" t="n">
        <v>0</v>
      </c>
      <c r="H4" s="12" t="n">
        <v>80</v>
      </c>
      <c r="I4" s="14" t="n">
        <f aca="false">E4+F4+G4-H4</f>
        <v>170</v>
      </c>
      <c r="J4" s="11" t="s">
        <v>81</v>
      </c>
    </row>
    <row r="5" customFormat="false" ht="15" hidden="false" customHeight="true" outlineLevel="0" collapsed="false">
      <c r="A5" s="11" t="s">
        <v>32</v>
      </c>
      <c r="B5" s="11" t="s">
        <v>33</v>
      </c>
      <c r="C5" s="11" t="s">
        <v>26</v>
      </c>
      <c r="D5" s="11" t="s">
        <v>27</v>
      </c>
      <c r="E5" s="12" t="n">
        <v>150</v>
      </c>
      <c r="F5" s="12" t="n">
        <v>40</v>
      </c>
      <c r="G5" s="12" t="n">
        <v>0</v>
      </c>
      <c r="H5" s="12" t="n">
        <v>60</v>
      </c>
      <c r="I5" s="14" t="n">
        <f aca="false">E5+F5+G5-H5</f>
        <v>130</v>
      </c>
      <c r="J5" s="11" t="s">
        <v>81</v>
      </c>
    </row>
    <row r="6" customFormat="false" ht="15" hidden="false" customHeight="true" outlineLevel="0" collapsed="false">
      <c r="A6" s="11" t="s">
        <v>34</v>
      </c>
      <c r="B6" s="11" t="s">
        <v>35</v>
      </c>
      <c r="C6" s="11" t="s">
        <v>26</v>
      </c>
      <c r="D6" s="11" t="s">
        <v>27</v>
      </c>
      <c r="E6" s="12" t="n">
        <v>60</v>
      </c>
      <c r="F6" s="12" t="n">
        <v>10</v>
      </c>
      <c r="G6" s="12" t="n">
        <v>0</v>
      </c>
      <c r="H6" s="12" t="n">
        <v>20</v>
      </c>
      <c r="I6" s="14" t="n">
        <f aca="false">E6+F6+G6-H6</f>
        <v>50</v>
      </c>
      <c r="J6" s="11" t="s">
        <v>81</v>
      </c>
    </row>
    <row r="7" customFormat="false" ht="15" hidden="false" customHeight="true" outlineLevel="0" collapsed="false">
      <c r="A7" s="11" t="s">
        <v>36</v>
      </c>
      <c r="B7" s="11" t="s">
        <v>37</v>
      </c>
      <c r="C7" s="11" t="s">
        <v>38</v>
      </c>
      <c r="D7" s="11" t="s">
        <v>27</v>
      </c>
      <c r="E7" s="12" t="n">
        <v>0</v>
      </c>
      <c r="F7" s="12" t="n">
        <v>45</v>
      </c>
      <c r="G7" s="12" t="n">
        <v>0</v>
      </c>
      <c r="H7" s="12" t="n">
        <v>0</v>
      </c>
      <c r="I7" s="14" t="n">
        <f aca="false">E7+F7+G7-H7</f>
        <v>45</v>
      </c>
      <c r="J7" s="11" t="s">
        <v>81</v>
      </c>
    </row>
    <row r="8" customFormat="false" ht="15" hidden="false" customHeight="true" outlineLevel="0" collapsed="false">
      <c r="A8" s="11" t="s">
        <v>39</v>
      </c>
      <c r="B8" s="11" t="s">
        <v>40</v>
      </c>
      <c r="C8" s="11" t="s">
        <v>38</v>
      </c>
      <c r="D8" s="11" t="s">
        <v>27</v>
      </c>
      <c r="E8" s="12" t="n">
        <v>0</v>
      </c>
      <c r="F8" s="12" t="n">
        <v>30</v>
      </c>
      <c r="G8" s="12" t="n">
        <v>0</v>
      </c>
      <c r="H8" s="12" t="n">
        <v>0</v>
      </c>
      <c r="I8" s="14" t="n">
        <f aca="false">E8+F8+G8-H8</f>
        <v>30</v>
      </c>
      <c r="J8" s="11" t="s">
        <v>81</v>
      </c>
    </row>
    <row r="9" customFormat="false" ht="15" hidden="false" customHeight="true" outlineLevel="0" collapsed="false">
      <c r="A9" s="11" t="s">
        <v>41</v>
      </c>
      <c r="B9" s="11" t="s">
        <v>42</v>
      </c>
      <c r="C9" s="11" t="s">
        <v>43</v>
      </c>
      <c r="D9" s="11" t="s">
        <v>27</v>
      </c>
      <c r="E9" s="12" t="n">
        <v>850</v>
      </c>
      <c r="F9" s="12" t="n">
        <v>0</v>
      </c>
      <c r="G9" s="12" t="n">
        <v>200</v>
      </c>
      <c r="H9" s="12" t="n">
        <v>0</v>
      </c>
      <c r="I9" s="14" t="n">
        <f aca="false">E9+F9+G9-H9</f>
        <v>1050</v>
      </c>
      <c r="J9" s="11" t="s">
        <v>81</v>
      </c>
    </row>
    <row r="10" customFormat="false" ht="15" hidden="false" customHeight="true" outlineLevel="0" collapsed="false">
      <c r="A10" s="11" t="s">
        <v>44</v>
      </c>
      <c r="B10" s="11" t="s">
        <v>45</v>
      </c>
      <c r="C10" s="11" t="s">
        <v>43</v>
      </c>
      <c r="D10" s="11" t="s">
        <v>27</v>
      </c>
      <c r="E10" s="12" t="n">
        <v>320</v>
      </c>
      <c r="F10" s="12" t="n">
        <v>0</v>
      </c>
      <c r="G10" s="12" t="n">
        <v>100</v>
      </c>
      <c r="H10" s="12" t="n">
        <v>0</v>
      </c>
      <c r="I10" s="14" t="n">
        <f aca="false">E10+F10+G10-H10</f>
        <v>420</v>
      </c>
      <c r="J10" s="11" t="s">
        <v>81</v>
      </c>
    </row>
    <row r="11" customFormat="false" ht="15" hidden="false" customHeight="true" outlineLevel="0" collapsed="false">
      <c r="A11" s="11" t="s">
        <v>46</v>
      </c>
      <c r="B11" s="11" t="s">
        <v>47</v>
      </c>
      <c r="C11" s="11" t="s">
        <v>43</v>
      </c>
      <c r="D11" s="11" t="s">
        <v>27</v>
      </c>
      <c r="E11" s="12" t="n">
        <v>450</v>
      </c>
      <c r="F11" s="12" t="n">
        <v>0</v>
      </c>
      <c r="G11" s="12" t="n">
        <v>150</v>
      </c>
      <c r="H11" s="12" t="n">
        <v>0</v>
      </c>
      <c r="I11" s="14" t="n">
        <f aca="false">E11+F11+G11-H11</f>
        <v>600</v>
      </c>
      <c r="J11" s="11" t="s">
        <v>81</v>
      </c>
    </row>
    <row r="12" customFormat="false" ht="15" hidden="false" customHeight="true" outlineLevel="0" collapsed="false">
      <c r="A12" s="11" t="s">
        <v>48</v>
      </c>
      <c r="B12" s="11" t="s">
        <v>49</v>
      </c>
      <c r="C12" s="11" t="s">
        <v>43</v>
      </c>
      <c r="D12" s="11" t="s">
        <v>50</v>
      </c>
      <c r="E12" s="12" t="n">
        <v>1200</v>
      </c>
      <c r="F12" s="12" t="n">
        <v>0</v>
      </c>
      <c r="G12" s="12" t="n">
        <v>0</v>
      </c>
      <c r="H12" s="12" t="n">
        <v>200</v>
      </c>
      <c r="I12" s="14" t="n">
        <f aca="false">E12+F12+G12-H12</f>
        <v>1000</v>
      </c>
      <c r="J12" s="11" t="s">
        <v>81</v>
      </c>
    </row>
    <row r="13" customFormat="false" ht="15" hidden="false" customHeight="true" outlineLevel="0" collapsed="false">
      <c r="A13" s="11" t="s">
        <v>51</v>
      </c>
      <c r="B13" s="11" t="s">
        <v>52</v>
      </c>
      <c r="C13" s="11" t="s">
        <v>43</v>
      </c>
      <c r="D13" s="11" t="s">
        <v>53</v>
      </c>
      <c r="E13" s="12" t="n">
        <v>80</v>
      </c>
      <c r="F13" s="12" t="n">
        <v>0</v>
      </c>
      <c r="G13" s="12" t="n">
        <v>0</v>
      </c>
      <c r="H13" s="12" t="n">
        <v>10</v>
      </c>
      <c r="I13" s="14" t="n">
        <f aca="false">E13+F13+G13-H13</f>
        <v>70</v>
      </c>
      <c r="J13" s="1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2"/>
    <col collapsed="false" customWidth="true" hidden="false" outlineLevel="0" max="2" min="2" style="9" width="22"/>
    <col collapsed="false" customWidth="true" hidden="false" outlineLevel="0" max="4" min="3" style="9" width="14"/>
    <col collapsed="false" customWidth="true" hidden="false" outlineLevel="0" max="5" min="5" style="9" width="22"/>
    <col collapsed="false" customWidth="true" hidden="false" outlineLevel="0" max="6" min="6" style="9" width="12"/>
    <col collapsed="false" customWidth="true" hidden="false" outlineLevel="0" max="7" min="7" style="9" width="8"/>
    <col collapsed="false" customWidth="true" hidden="false" outlineLevel="0" max="9" min="8" style="9" width="14"/>
    <col collapsed="false" customWidth="true" hidden="false" outlineLevel="0" max="10" min="10" style="9" width="10"/>
    <col collapsed="false" customWidth="true" hidden="false" outlineLevel="0" max="11" min="11" style="9" width="12"/>
  </cols>
  <sheetData>
    <row r="1" customFormat="false" ht="15" hidden="false" customHeight="true" outlineLevel="0" collapsed="false">
      <c r="A1" s="10" t="s">
        <v>82</v>
      </c>
      <c r="B1" s="10" t="s">
        <v>83</v>
      </c>
      <c r="C1" s="10" t="s">
        <v>84</v>
      </c>
      <c r="D1" s="10" t="s">
        <v>15</v>
      </c>
      <c r="E1" s="10" t="s">
        <v>16</v>
      </c>
      <c r="F1" s="10" t="s">
        <v>85</v>
      </c>
      <c r="G1" s="10" t="s">
        <v>18</v>
      </c>
      <c r="H1" s="10" t="s">
        <v>86</v>
      </c>
      <c r="I1" s="10" t="s">
        <v>87</v>
      </c>
      <c r="J1" s="10" t="s">
        <v>88</v>
      </c>
      <c r="K1" s="10" t="s">
        <v>89</v>
      </c>
    </row>
    <row r="2" customFormat="false" ht="15" hidden="false" customHeight="true" outlineLevel="0" collapsed="false">
      <c r="A2" s="11" t="s">
        <v>90</v>
      </c>
      <c r="B2" s="11" t="s">
        <v>91</v>
      </c>
      <c r="C2" s="11" t="s">
        <v>92</v>
      </c>
      <c r="D2" s="11" t="s">
        <v>24</v>
      </c>
      <c r="E2" s="11" t="s">
        <v>25</v>
      </c>
      <c r="F2" s="12" t="n">
        <v>50</v>
      </c>
      <c r="G2" s="11" t="s">
        <v>27</v>
      </c>
      <c r="H2" s="11" t="s">
        <v>93</v>
      </c>
      <c r="I2" s="11" t="s">
        <v>94</v>
      </c>
      <c r="J2" s="11" t="s">
        <v>95</v>
      </c>
      <c r="K2" s="11" t="s">
        <v>96</v>
      </c>
    </row>
    <row r="3" customFormat="false" ht="15" hidden="false" customHeight="true" outlineLevel="0" collapsed="false">
      <c r="A3" s="11" t="s">
        <v>97</v>
      </c>
      <c r="B3" s="11" t="s">
        <v>98</v>
      </c>
      <c r="C3" s="11" t="s">
        <v>99</v>
      </c>
      <c r="D3" s="11" t="s">
        <v>24</v>
      </c>
      <c r="E3" s="11" t="s">
        <v>25</v>
      </c>
      <c r="F3" s="12" t="n">
        <v>80</v>
      </c>
      <c r="G3" s="11" t="s">
        <v>27</v>
      </c>
      <c r="H3" s="11" t="s">
        <v>93</v>
      </c>
      <c r="I3" s="11" t="s">
        <v>100</v>
      </c>
      <c r="J3" s="11" t="s">
        <v>95</v>
      </c>
      <c r="K3" s="11" t="s">
        <v>96</v>
      </c>
    </row>
    <row r="4" customFormat="false" ht="15" hidden="false" customHeight="true" outlineLevel="0" collapsed="false">
      <c r="A4" s="11" t="s">
        <v>101</v>
      </c>
      <c r="B4" s="11" t="s">
        <v>91</v>
      </c>
      <c r="C4" s="11" t="s">
        <v>92</v>
      </c>
      <c r="D4" s="11" t="s">
        <v>24</v>
      </c>
      <c r="E4" s="11" t="s">
        <v>25</v>
      </c>
      <c r="F4" s="12" t="n">
        <v>100</v>
      </c>
      <c r="G4" s="11" t="s">
        <v>27</v>
      </c>
      <c r="H4" s="11" t="s">
        <v>102</v>
      </c>
      <c r="I4" s="11" t="s">
        <v>103</v>
      </c>
      <c r="J4" s="11" t="s">
        <v>104</v>
      </c>
      <c r="K4" s="11" t="s">
        <v>96</v>
      </c>
    </row>
    <row r="5" customFormat="false" ht="15" hidden="false" customHeight="true" outlineLevel="0" collapsed="false">
      <c r="A5" s="11" t="s">
        <v>105</v>
      </c>
      <c r="B5" s="11" t="s">
        <v>91</v>
      </c>
      <c r="C5" s="11" t="s">
        <v>92</v>
      </c>
      <c r="D5" s="11" t="s">
        <v>34</v>
      </c>
      <c r="E5" s="11" t="s">
        <v>35</v>
      </c>
      <c r="F5" s="12" t="n">
        <v>50</v>
      </c>
      <c r="G5" s="11" t="s">
        <v>27</v>
      </c>
      <c r="H5" s="11" t="s">
        <v>102</v>
      </c>
      <c r="I5" s="11" t="s">
        <v>106</v>
      </c>
      <c r="J5" s="11" t="s">
        <v>107</v>
      </c>
      <c r="K5" s="11" t="s">
        <v>96</v>
      </c>
    </row>
    <row r="6" customFormat="false" ht="15" hidden="false" customHeight="true" outlineLevel="0" collapsed="false">
      <c r="A6" s="11" t="s">
        <v>108</v>
      </c>
      <c r="B6" s="11" t="s">
        <v>109</v>
      </c>
      <c r="C6" s="11" t="s">
        <v>110</v>
      </c>
      <c r="D6" s="11" t="s">
        <v>30</v>
      </c>
      <c r="E6" s="11" t="s">
        <v>31</v>
      </c>
      <c r="F6" s="12" t="n">
        <v>80</v>
      </c>
      <c r="G6" s="11" t="s">
        <v>27</v>
      </c>
      <c r="H6" s="11" t="s">
        <v>81</v>
      </c>
      <c r="I6" s="11" t="s">
        <v>111</v>
      </c>
      <c r="J6" s="11" t="s">
        <v>107</v>
      </c>
      <c r="K6" s="11" t="s">
        <v>96</v>
      </c>
    </row>
    <row r="7" customFormat="false" ht="15" hidden="false" customHeight="true" outlineLevel="0" collapsed="false">
      <c r="A7" s="11" t="s">
        <v>112</v>
      </c>
      <c r="B7" s="11" t="s">
        <v>113</v>
      </c>
      <c r="C7" s="11" t="s">
        <v>114</v>
      </c>
      <c r="D7" s="11" t="s">
        <v>28</v>
      </c>
      <c r="E7" s="11" t="s">
        <v>29</v>
      </c>
      <c r="F7" s="12" t="n">
        <v>30</v>
      </c>
      <c r="G7" s="11" t="s">
        <v>27</v>
      </c>
      <c r="H7" s="11" t="s">
        <v>102</v>
      </c>
      <c r="I7" s="11" t="s">
        <v>115</v>
      </c>
      <c r="J7" s="11" t="s">
        <v>95</v>
      </c>
      <c r="K7" s="11" t="s">
        <v>96</v>
      </c>
    </row>
    <row r="8" customFormat="false" ht="15" hidden="false" customHeight="true" outlineLevel="0" collapsed="false">
      <c r="A8" s="11" t="s">
        <v>116</v>
      </c>
      <c r="B8" s="11" t="s">
        <v>117</v>
      </c>
      <c r="C8" s="11" t="s">
        <v>118</v>
      </c>
      <c r="D8" s="11" t="s">
        <v>24</v>
      </c>
      <c r="E8" s="11" t="s">
        <v>25</v>
      </c>
      <c r="F8" s="12" t="n">
        <v>60</v>
      </c>
      <c r="G8" s="11" t="s">
        <v>27</v>
      </c>
      <c r="H8" s="11" t="s">
        <v>119</v>
      </c>
      <c r="I8" s="11" t="s">
        <v>94</v>
      </c>
      <c r="J8" s="11" t="s">
        <v>95</v>
      </c>
      <c r="K8" s="11" t="s">
        <v>96</v>
      </c>
    </row>
    <row r="9" customFormat="false" ht="15" hidden="false" customHeight="true" outlineLevel="0" collapsed="false">
      <c r="A9" s="11" t="s">
        <v>120</v>
      </c>
      <c r="B9" s="11" t="s">
        <v>117</v>
      </c>
      <c r="C9" s="11" t="s">
        <v>118</v>
      </c>
      <c r="D9" s="11" t="s">
        <v>34</v>
      </c>
      <c r="E9" s="11" t="s">
        <v>35</v>
      </c>
      <c r="F9" s="12" t="n">
        <v>30</v>
      </c>
      <c r="G9" s="11" t="s">
        <v>27</v>
      </c>
      <c r="H9" s="11" t="s">
        <v>81</v>
      </c>
      <c r="I9" s="11" t="s">
        <v>121</v>
      </c>
      <c r="J9" s="11" t="s">
        <v>104</v>
      </c>
      <c r="K9" s="11" t="s">
        <v>96</v>
      </c>
    </row>
    <row r="10" customFormat="false" ht="15" hidden="false" customHeight="true" outlineLevel="0" collapsed="false">
      <c r="A10" s="11" t="s">
        <v>122</v>
      </c>
      <c r="B10" s="11" t="s">
        <v>113</v>
      </c>
      <c r="C10" s="11" t="s">
        <v>114</v>
      </c>
      <c r="D10" s="11" t="s">
        <v>34</v>
      </c>
      <c r="E10" s="11" t="s">
        <v>35</v>
      </c>
      <c r="F10" s="12" t="n">
        <v>30</v>
      </c>
      <c r="G10" s="11" t="s">
        <v>27</v>
      </c>
      <c r="H10" s="11" t="s">
        <v>119</v>
      </c>
      <c r="I10" s="11" t="s">
        <v>103</v>
      </c>
      <c r="J10" s="11" t="s">
        <v>95</v>
      </c>
      <c r="K10" s="11" t="s">
        <v>96</v>
      </c>
    </row>
    <row r="11" customFormat="false" ht="15" hidden="false" customHeight="true" outlineLevel="0" collapsed="false">
      <c r="A11" s="11" t="s">
        <v>123</v>
      </c>
      <c r="B11" s="11" t="s">
        <v>98</v>
      </c>
      <c r="C11" s="11" t="s">
        <v>99</v>
      </c>
      <c r="D11" s="11" t="s">
        <v>30</v>
      </c>
      <c r="E11" s="11" t="s">
        <v>31</v>
      </c>
      <c r="F11" s="12" t="n">
        <v>30</v>
      </c>
      <c r="G11" s="11" t="s">
        <v>27</v>
      </c>
      <c r="H11" s="11" t="s">
        <v>81</v>
      </c>
      <c r="I11" s="11" t="s">
        <v>100</v>
      </c>
      <c r="J11" s="11" t="s">
        <v>107</v>
      </c>
      <c r="K11" s="11" t="s">
        <v>96</v>
      </c>
    </row>
    <row r="12" customFormat="false" ht="15" hidden="false" customHeight="true" outlineLevel="0" collapsed="false">
      <c r="A12" s="11" t="s">
        <v>124</v>
      </c>
      <c r="B12" s="11" t="s">
        <v>113</v>
      </c>
      <c r="C12" s="11" t="s">
        <v>114</v>
      </c>
      <c r="D12" s="11" t="s">
        <v>32</v>
      </c>
      <c r="E12" s="11" t="s">
        <v>33</v>
      </c>
      <c r="F12" s="12" t="n">
        <v>40</v>
      </c>
      <c r="G12" s="11" t="s">
        <v>27</v>
      </c>
      <c r="H12" s="11" t="s">
        <v>93</v>
      </c>
      <c r="I12" s="11" t="s">
        <v>125</v>
      </c>
      <c r="J12" s="11" t="s">
        <v>107</v>
      </c>
      <c r="K12" s="11" t="s">
        <v>96</v>
      </c>
    </row>
    <row r="13" customFormat="false" ht="15" hidden="false" customHeight="true" outlineLevel="0" collapsed="false">
      <c r="A13" s="11" t="s">
        <v>126</v>
      </c>
      <c r="B13" s="11" t="s">
        <v>113</v>
      </c>
      <c r="C13" s="11" t="s">
        <v>114</v>
      </c>
      <c r="D13" s="11" t="s">
        <v>28</v>
      </c>
      <c r="E13" s="11" t="s">
        <v>29</v>
      </c>
      <c r="F13" s="12" t="n">
        <v>30</v>
      </c>
      <c r="G13" s="11" t="s">
        <v>27</v>
      </c>
      <c r="H13" s="11" t="s">
        <v>93</v>
      </c>
      <c r="I13" s="11" t="s">
        <v>94</v>
      </c>
      <c r="J13" s="11" t="s">
        <v>104</v>
      </c>
      <c r="K13" s="11" t="s">
        <v>96</v>
      </c>
    </row>
    <row r="14" customFormat="false" ht="15" hidden="false" customHeight="true" outlineLevel="0" collapsed="false">
      <c r="A14" s="11" t="s">
        <v>127</v>
      </c>
      <c r="B14" s="11" t="s">
        <v>98</v>
      </c>
      <c r="C14" s="11" t="s">
        <v>99</v>
      </c>
      <c r="D14" s="11" t="s">
        <v>34</v>
      </c>
      <c r="E14" s="11" t="s">
        <v>35</v>
      </c>
      <c r="F14" s="12" t="n">
        <v>40</v>
      </c>
      <c r="G14" s="11" t="s">
        <v>27</v>
      </c>
      <c r="H14" s="11" t="s">
        <v>93</v>
      </c>
      <c r="I14" s="11" t="s">
        <v>121</v>
      </c>
      <c r="J14" s="11" t="s">
        <v>107</v>
      </c>
      <c r="K14" s="11" t="s">
        <v>96</v>
      </c>
    </row>
    <row r="15" customFormat="false" ht="15" hidden="false" customHeight="true" outlineLevel="0" collapsed="false">
      <c r="A15" s="11" t="s">
        <v>128</v>
      </c>
      <c r="B15" s="11" t="s">
        <v>117</v>
      </c>
      <c r="C15" s="11" t="s">
        <v>118</v>
      </c>
      <c r="D15" s="11" t="s">
        <v>30</v>
      </c>
      <c r="E15" s="11" t="s">
        <v>31</v>
      </c>
      <c r="F15" s="12" t="n">
        <v>70</v>
      </c>
      <c r="G15" s="11" t="s">
        <v>27</v>
      </c>
      <c r="H15" s="11" t="s">
        <v>93</v>
      </c>
      <c r="I15" s="11" t="s">
        <v>121</v>
      </c>
      <c r="J15" s="11" t="s">
        <v>95</v>
      </c>
      <c r="K15" s="11" t="s">
        <v>96</v>
      </c>
    </row>
    <row r="16" customFormat="false" ht="15" hidden="false" customHeight="true" outlineLevel="0" collapsed="false">
      <c r="A16" s="11" t="s">
        <v>129</v>
      </c>
      <c r="B16" s="11" t="s">
        <v>98</v>
      </c>
      <c r="C16" s="11" t="s">
        <v>99</v>
      </c>
      <c r="D16" s="11" t="s">
        <v>24</v>
      </c>
      <c r="E16" s="11" t="s">
        <v>25</v>
      </c>
      <c r="F16" s="12" t="n">
        <v>60</v>
      </c>
      <c r="G16" s="11" t="s">
        <v>27</v>
      </c>
      <c r="H16" s="11" t="s">
        <v>119</v>
      </c>
      <c r="I16" s="11" t="s">
        <v>106</v>
      </c>
      <c r="J16" s="11" t="s">
        <v>95</v>
      </c>
      <c r="K16" s="11" t="s">
        <v>96</v>
      </c>
    </row>
    <row r="17" customFormat="false" ht="15" hidden="false" customHeight="true" outlineLevel="0" collapsed="false">
      <c r="A17" s="11" t="s">
        <v>130</v>
      </c>
      <c r="B17" s="11" t="s">
        <v>98</v>
      </c>
      <c r="C17" s="11" t="s">
        <v>99</v>
      </c>
      <c r="D17" s="11" t="s">
        <v>34</v>
      </c>
      <c r="E17" s="11" t="s">
        <v>35</v>
      </c>
      <c r="F17" s="12" t="n">
        <v>50</v>
      </c>
      <c r="G17" s="11" t="s">
        <v>27</v>
      </c>
      <c r="H17" s="11" t="s">
        <v>93</v>
      </c>
      <c r="I17" s="11" t="s">
        <v>131</v>
      </c>
      <c r="J17" s="11" t="s">
        <v>104</v>
      </c>
      <c r="K17" s="11" t="s">
        <v>96</v>
      </c>
    </row>
    <row r="18" customFormat="false" ht="15" hidden="false" customHeight="true" outlineLevel="0" collapsed="false">
      <c r="A18" s="11" t="s">
        <v>132</v>
      </c>
      <c r="B18" s="11" t="s">
        <v>117</v>
      </c>
      <c r="C18" s="11" t="s">
        <v>118</v>
      </c>
      <c r="D18" s="11" t="s">
        <v>32</v>
      </c>
      <c r="E18" s="11" t="s">
        <v>33</v>
      </c>
      <c r="F18" s="12" t="n">
        <v>40</v>
      </c>
      <c r="G18" s="11" t="s">
        <v>27</v>
      </c>
      <c r="H18" s="11" t="s">
        <v>93</v>
      </c>
      <c r="I18" s="11" t="s">
        <v>133</v>
      </c>
      <c r="J18" s="11" t="s">
        <v>107</v>
      </c>
      <c r="K18" s="11" t="s">
        <v>96</v>
      </c>
    </row>
    <row r="19" customFormat="false" ht="15" hidden="false" customHeight="true" outlineLevel="0" collapsed="false">
      <c r="A19" s="11" t="s">
        <v>134</v>
      </c>
      <c r="B19" s="11" t="s">
        <v>98</v>
      </c>
      <c r="C19" s="11" t="s">
        <v>99</v>
      </c>
      <c r="D19" s="11" t="s">
        <v>28</v>
      </c>
      <c r="E19" s="11" t="s">
        <v>29</v>
      </c>
      <c r="F19" s="12" t="n">
        <v>80</v>
      </c>
      <c r="G19" s="11" t="s">
        <v>27</v>
      </c>
      <c r="H19" s="11" t="s">
        <v>93</v>
      </c>
      <c r="I19" s="11" t="s">
        <v>94</v>
      </c>
      <c r="J19" s="11" t="s">
        <v>104</v>
      </c>
      <c r="K19" s="11" t="s">
        <v>96</v>
      </c>
    </row>
    <row r="20" customFormat="false" ht="15" hidden="false" customHeight="true" outlineLevel="0" collapsed="false">
      <c r="A20" s="11" t="s">
        <v>135</v>
      </c>
      <c r="B20" s="11" t="s">
        <v>117</v>
      </c>
      <c r="C20" s="11" t="s">
        <v>118</v>
      </c>
      <c r="D20" s="11" t="s">
        <v>30</v>
      </c>
      <c r="E20" s="11" t="s">
        <v>31</v>
      </c>
      <c r="F20" s="12" t="n">
        <v>100</v>
      </c>
      <c r="G20" s="11" t="s">
        <v>27</v>
      </c>
      <c r="H20" s="11" t="s">
        <v>102</v>
      </c>
      <c r="I20" s="11" t="s">
        <v>111</v>
      </c>
      <c r="J20" s="11" t="s">
        <v>107</v>
      </c>
      <c r="K20" s="11" t="s">
        <v>96</v>
      </c>
    </row>
    <row r="21" customFormat="false" ht="15" hidden="false" customHeight="true" outlineLevel="0" collapsed="false">
      <c r="A21" s="11" t="s">
        <v>136</v>
      </c>
      <c r="B21" s="11" t="s">
        <v>91</v>
      </c>
      <c r="C21" s="11" t="s">
        <v>92</v>
      </c>
      <c r="D21" s="11" t="s">
        <v>24</v>
      </c>
      <c r="E21" s="11" t="s">
        <v>25</v>
      </c>
      <c r="F21" s="12" t="n">
        <v>40</v>
      </c>
      <c r="G21" s="11" t="s">
        <v>27</v>
      </c>
      <c r="H21" s="11" t="s">
        <v>81</v>
      </c>
      <c r="I21" s="11" t="s">
        <v>137</v>
      </c>
      <c r="J21" s="11" t="s">
        <v>104</v>
      </c>
      <c r="K21" s="1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4"/>
    <col collapsed="false" customWidth="true" hidden="false" outlineLevel="0" max="2" min="2" style="9" width="24"/>
    <col collapsed="false" customWidth="true" hidden="false" outlineLevel="0" max="3" min="3" style="9" width="18"/>
    <col collapsed="false" customWidth="true" hidden="false" outlineLevel="0" max="4" min="4" style="9" width="16"/>
    <col collapsed="false" customWidth="true" hidden="false" outlineLevel="0" max="6" min="5" style="9" width="18"/>
    <col collapsed="false" customWidth="true" hidden="false" outlineLevel="0" max="7" min="7" style="9" width="16"/>
    <col collapsed="false" customWidth="true" hidden="false" outlineLevel="0" max="8" min="8" style="9" width="22"/>
    <col collapsed="false" customWidth="true" hidden="false" outlineLevel="0" max="9" min="9" style="9" width="10"/>
  </cols>
  <sheetData>
    <row r="1" customFormat="false" ht="15" hidden="false" customHeight="true" outlineLevel="0" collapsed="false">
      <c r="A1" s="10" t="s">
        <v>138</v>
      </c>
      <c r="B1" s="10" t="s">
        <v>139</v>
      </c>
      <c r="C1" s="10" t="s">
        <v>140</v>
      </c>
      <c r="D1" s="10" t="s">
        <v>141</v>
      </c>
      <c r="E1" s="10" t="s">
        <v>142</v>
      </c>
      <c r="F1" s="10" t="s">
        <v>143</v>
      </c>
      <c r="G1" s="10" t="s">
        <v>144</v>
      </c>
      <c r="H1" s="10" t="s">
        <v>145</v>
      </c>
      <c r="I1" s="10" t="s">
        <v>23</v>
      </c>
    </row>
    <row r="2" customFormat="false" ht="15" hidden="false" customHeight="true" outlineLevel="0" collapsed="false">
      <c r="A2" s="11" t="s">
        <v>146</v>
      </c>
      <c r="B2" s="11" t="s">
        <v>147</v>
      </c>
      <c r="C2" s="11" t="s">
        <v>148</v>
      </c>
      <c r="D2" s="12" t="n">
        <v>3</v>
      </c>
      <c r="E2" s="12" t="n">
        <v>8</v>
      </c>
      <c r="F2" s="15" t="n">
        <f aca="false">D2*E2</f>
        <v>24</v>
      </c>
      <c r="G2" s="12" t="n">
        <v>45</v>
      </c>
      <c r="H2" s="11" t="s">
        <v>149</v>
      </c>
      <c r="I2" s="13" t="b">
        <f aca="false">TRUE()</f>
        <v>1</v>
      </c>
    </row>
    <row r="3" customFormat="false" ht="15" hidden="false" customHeight="true" outlineLevel="0" collapsed="false">
      <c r="A3" s="11" t="s">
        <v>150</v>
      </c>
      <c r="B3" s="11" t="s">
        <v>151</v>
      </c>
      <c r="C3" s="11" t="s">
        <v>148</v>
      </c>
      <c r="D3" s="12" t="n">
        <v>3</v>
      </c>
      <c r="E3" s="12" t="n">
        <v>8</v>
      </c>
      <c r="F3" s="15" t="n">
        <f aca="false">D3*E3</f>
        <v>24</v>
      </c>
      <c r="G3" s="12" t="n">
        <v>45</v>
      </c>
      <c r="H3" s="11" t="s">
        <v>152</v>
      </c>
      <c r="I3" s="13" t="b">
        <f aca="false">TRUE()</f>
        <v>1</v>
      </c>
    </row>
    <row r="4" customFormat="false" ht="15" hidden="false" customHeight="true" outlineLevel="0" collapsed="false">
      <c r="A4" s="11" t="s">
        <v>153</v>
      </c>
      <c r="B4" s="11" t="s">
        <v>154</v>
      </c>
      <c r="C4" s="11" t="s">
        <v>155</v>
      </c>
      <c r="D4" s="12" t="n">
        <v>3</v>
      </c>
      <c r="E4" s="12" t="n">
        <v>8</v>
      </c>
      <c r="F4" s="15" t="n">
        <f aca="false">D4*E4</f>
        <v>24</v>
      </c>
      <c r="G4" s="12" t="n">
        <v>30</v>
      </c>
      <c r="H4" s="11" t="s">
        <v>156</v>
      </c>
      <c r="I4" s="13" t="b">
        <f aca="false">TRUE()</f>
        <v>1</v>
      </c>
    </row>
    <row r="5" customFormat="false" ht="15" hidden="false" customHeight="true" outlineLevel="0" collapsed="false">
      <c r="A5" s="11" t="s">
        <v>157</v>
      </c>
      <c r="B5" s="11" t="s">
        <v>158</v>
      </c>
      <c r="C5" s="11" t="s">
        <v>155</v>
      </c>
      <c r="D5" s="12" t="n">
        <v>3</v>
      </c>
      <c r="E5" s="12" t="n">
        <v>8</v>
      </c>
      <c r="F5" s="15" t="n">
        <f aca="false">D5*E5</f>
        <v>24</v>
      </c>
      <c r="G5" s="12" t="n">
        <v>30</v>
      </c>
      <c r="H5" s="11" t="s">
        <v>159</v>
      </c>
      <c r="I5" s="13" t="b">
        <f aca="false">TRUE()</f>
        <v>1</v>
      </c>
    </row>
    <row r="6" customFormat="false" ht="15" hidden="false" customHeight="true" outlineLevel="0" collapsed="false">
      <c r="A6" s="11" t="s">
        <v>160</v>
      </c>
      <c r="B6" s="11" t="s">
        <v>161</v>
      </c>
      <c r="C6" s="11" t="s">
        <v>162</v>
      </c>
      <c r="D6" s="12" t="n">
        <v>2</v>
      </c>
      <c r="E6" s="12" t="n">
        <v>8</v>
      </c>
      <c r="F6" s="15" t="n">
        <f aca="false">D6*E6</f>
        <v>16</v>
      </c>
      <c r="G6" s="12" t="n">
        <v>60</v>
      </c>
      <c r="H6" s="11" t="s">
        <v>163</v>
      </c>
      <c r="I6" s="13" t="b">
        <f aca="false">TRUE()</f>
        <v>1</v>
      </c>
    </row>
    <row r="7" customFormat="false" ht="15" hidden="false" customHeight="true" outlineLevel="0" collapsed="false">
      <c r="A7" s="11" t="s">
        <v>164</v>
      </c>
      <c r="B7" s="11" t="s">
        <v>165</v>
      </c>
      <c r="C7" s="11" t="s">
        <v>162</v>
      </c>
      <c r="D7" s="12" t="n">
        <v>2</v>
      </c>
      <c r="E7" s="12" t="n">
        <v>8</v>
      </c>
      <c r="F7" s="15" t="n">
        <f aca="false">D7*E7</f>
        <v>16</v>
      </c>
      <c r="G7" s="12" t="n">
        <v>60</v>
      </c>
      <c r="H7" s="11" t="s">
        <v>163</v>
      </c>
      <c r="I7" s="13" t="b">
        <f aca="false">TRUE()</f>
        <v>1</v>
      </c>
    </row>
    <row r="8" customFormat="false" ht="15" hidden="false" customHeight="true" outlineLevel="0" collapsed="false">
      <c r="A8" s="11" t="s">
        <v>166</v>
      </c>
      <c r="B8" s="11" t="s">
        <v>167</v>
      </c>
      <c r="C8" s="11" t="s">
        <v>162</v>
      </c>
      <c r="D8" s="12" t="n">
        <v>2</v>
      </c>
      <c r="E8" s="12" t="n">
        <v>8</v>
      </c>
      <c r="F8" s="15" t="n">
        <f aca="false">D8*E8</f>
        <v>16</v>
      </c>
      <c r="G8" s="12" t="n">
        <v>90</v>
      </c>
      <c r="H8" s="11" t="s">
        <v>168</v>
      </c>
      <c r="I8" s="1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9" width="14"/>
    <col collapsed="false" customWidth="true" hidden="false" outlineLevel="0" max="3" min="3" style="9" width="22"/>
    <col collapsed="false" customWidth="true" hidden="false" outlineLevel="0" max="4" min="4" style="9" width="14"/>
    <col collapsed="false" customWidth="true" hidden="false" outlineLevel="0" max="5" min="5" style="9" width="18"/>
    <col collapsed="false" customWidth="true" hidden="false" outlineLevel="0" max="6" min="6" style="9" width="14"/>
    <col collapsed="false" customWidth="true" hidden="false" outlineLevel="0" max="7" min="7" style="9" width="18"/>
    <col collapsed="false" customWidth="true" hidden="false" outlineLevel="0" max="10" min="8" style="9" width="14"/>
  </cols>
  <sheetData>
    <row r="1" customFormat="false" ht="15" hidden="false" customHeight="true" outlineLevel="0" collapsed="false">
      <c r="A1" s="10" t="s">
        <v>169</v>
      </c>
      <c r="B1" s="10" t="s">
        <v>15</v>
      </c>
      <c r="C1" s="10" t="s">
        <v>16</v>
      </c>
      <c r="D1" s="10" t="s">
        <v>170</v>
      </c>
      <c r="E1" s="10" t="s">
        <v>171</v>
      </c>
      <c r="F1" s="10" t="s">
        <v>138</v>
      </c>
      <c r="G1" s="10" t="s">
        <v>172</v>
      </c>
      <c r="H1" s="10" t="s">
        <v>173</v>
      </c>
      <c r="I1" s="10" t="s">
        <v>174</v>
      </c>
      <c r="J1" s="10" t="s">
        <v>175</v>
      </c>
    </row>
    <row r="2" customFormat="false" ht="15" hidden="false" customHeight="true" outlineLevel="0" collapsed="false">
      <c r="A2" s="11" t="s">
        <v>176</v>
      </c>
      <c r="B2" s="11" t="s">
        <v>24</v>
      </c>
      <c r="C2" s="11" t="s">
        <v>25</v>
      </c>
      <c r="D2" s="11" t="n">
        <v>10</v>
      </c>
      <c r="E2" s="11" t="s">
        <v>148</v>
      </c>
      <c r="F2" s="11" t="s">
        <v>146</v>
      </c>
      <c r="G2" s="12" t="n">
        <v>0.033</v>
      </c>
      <c r="H2" s="12" t="n">
        <v>0.75</v>
      </c>
      <c r="I2" s="12" t="n">
        <v>30</v>
      </c>
      <c r="J2" s="12" t="n">
        <v>50</v>
      </c>
    </row>
    <row r="3" customFormat="false" ht="15" hidden="false" customHeight="true" outlineLevel="0" collapsed="false">
      <c r="A3" s="11" t="s">
        <v>177</v>
      </c>
      <c r="B3" s="11" t="s">
        <v>24</v>
      </c>
      <c r="C3" s="11" t="s">
        <v>25</v>
      </c>
      <c r="D3" s="11" t="n">
        <v>20</v>
      </c>
      <c r="E3" s="11" t="s">
        <v>155</v>
      </c>
      <c r="F3" s="11" t="s">
        <v>153</v>
      </c>
      <c r="G3" s="12" t="n">
        <v>0.02</v>
      </c>
      <c r="H3" s="12" t="n">
        <v>0.5</v>
      </c>
      <c r="I3" s="12" t="n">
        <v>30</v>
      </c>
      <c r="J3" s="12" t="n">
        <v>50</v>
      </c>
    </row>
    <row r="4" customFormat="false" ht="15" hidden="false" customHeight="true" outlineLevel="0" collapsed="false">
      <c r="A4" s="11" t="s">
        <v>178</v>
      </c>
      <c r="B4" s="11" t="s">
        <v>28</v>
      </c>
      <c r="C4" s="11" t="s">
        <v>29</v>
      </c>
      <c r="D4" s="11" t="n">
        <v>10</v>
      </c>
      <c r="E4" s="11" t="s">
        <v>148</v>
      </c>
      <c r="F4" s="11" t="s">
        <v>146</v>
      </c>
      <c r="G4" s="12" t="n">
        <v>0.033</v>
      </c>
      <c r="H4" s="12" t="n">
        <v>0.75</v>
      </c>
      <c r="I4" s="12" t="n">
        <v>30</v>
      </c>
      <c r="J4" s="12" t="n">
        <v>50</v>
      </c>
    </row>
    <row r="5" customFormat="false" ht="15" hidden="false" customHeight="true" outlineLevel="0" collapsed="false">
      <c r="A5" s="11" t="s">
        <v>179</v>
      </c>
      <c r="B5" s="11" t="s">
        <v>28</v>
      </c>
      <c r="C5" s="11" t="s">
        <v>29</v>
      </c>
      <c r="D5" s="11" t="n">
        <v>20</v>
      </c>
      <c r="E5" s="11" t="s">
        <v>155</v>
      </c>
      <c r="F5" s="11" t="s">
        <v>153</v>
      </c>
      <c r="G5" s="12" t="n">
        <v>0.02</v>
      </c>
      <c r="H5" s="12" t="n">
        <v>0.5</v>
      </c>
      <c r="I5" s="12" t="n">
        <v>30</v>
      </c>
      <c r="J5" s="12" t="n">
        <v>50</v>
      </c>
    </row>
    <row r="6" customFormat="false" ht="15" hidden="false" customHeight="true" outlineLevel="0" collapsed="false">
      <c r="A6" s="11" t="s">
        <v>180</v>
      </c>
      <c r="B6" s="11" t="s">
        <v>30</v>
      </c>
      <c r="C6" s="11" t="s">
        <v>31</v>
      </c>
      <c r="D6" s="11" t="n">
        <v>10</v>
      </c>
      <c r="E6" s="11" t="s">
        <v>148</v>
      </c>
      <c r="F6" s="11" t="s">
        <v>146</v>
      </c>
      <c r="G6" s="12" t="n">
        <v>0.033</v>
      </c>
      <c r="H6" s="12" t="n">
        <v>0.75</v>
      </c>
      <c r="I6" s="12" t="n">
        <v>25</v>
      </c>
      <c r="J6" s="12" t="n">
        <v>40</v>
      </c>
    </row>
    <row r="7" customFormat="false" ht="15" hidden="false" customHeight="true" outlineLevel="0" collapsed="false">
      <c r="A7" s="11" t="s">
        <v>181</v>
      </c>
      <c r="B7" s="11" t="s">
        <v>30</v>
      </c>
      <c r="C7" s="11" t="s">
        <v>31</v>
      </c>
      <c r="D7" s="11" t="n">
        <v>20</v>
      </c>
      <c r="E7" s="11" t="s">
        <v>155</v>
      </c>
      <c r="F7" s="11" t="s">
        <v>157</v>
      </c>
      <c r="G7" s="12" t="n">
        <v>0.02</v>
      </c>
      <c r="H7" s="12" t="n">
        <v>0.5</v>
      </c>
      <c r="I7" s="12" t="n">
        <v>25</v>
      </c>
      <c r="J7" s="12" t="n">
        <v>40</v>
      </c>
    </row>
    <row r="8" customFormat="false" ht="15" hidden="false" customHeight="true" outlineLevel="0" collapsed="false">
      <c r="A8" s="11" t="s">
        <v>182</v>
      </c>
      <c r="B8" s="11" t="s">
        <v>30</v>
      </c>
      <c r="C8" s="11" t="s">
        <v>31</v>
      </c>
      <c r="D8" s="11" t="n">
        <v>30</v>
      </c>
      <c r="E8" s="11" t="s">
        <v>162</v>
      </c>
      <c r="F8" s="11" t="s">
        <v>160</v>
      </c>
      <c r="G8" s="12" t="n">
        <v>0.015</v>
      </c>
      <c r="H8" s="12" t="n">
        <v>1</v>
      </c>
      <c r="I8" s="12" t="n">
        <v>25</v>
      </c>
      <c r="J8" s="12" t="n">
        <v>40</v>
      </c>
    </row>
    <row r="9" customFormat="false" ht="15" hidden="false" customHeight="true" outlineLevel="0" collapsed="false">
      <c r="A9" s="11" t="s">
        <v>183</v>
      </c>
      <c r="B9" s="11" t="s">
        <v>32</v>
      </c>
      <c r="C9" s="11" t="s">
        <v>33</v>
      </c>
      <c r="D9" s="11" t="n">
        <v>10</v>
      </c>
      <c r="E9" s="11" t="s">
        <v>148</v>
      </c>
      <c r="F9" s="11" t="s">
        <v>150</v>
      </c>
      <c r="G9" s="12" t="n">
        <v>0.033</v>
      </c>
      <c r="H9" s="12" t="n">
        <v>0.75</v>
      </c>
      <c r="I9" s="12" t="n">
        <v>25</v>
      </c>
      <c r="J9" s="12" t="n">
        <v>40</v>
      </c>
    </row>
    <row r="10" customFormat="false" ht="15" hidden="false" customHeight="true" outlineLevel="0" collapsed="false">
      <c r="A10" s="11" t="s">
        <v>184</v>
      </c>
      <c r="B10" s="11" t="s">
        <v>32</v>
      </c>
      <c r="C10" s="11" t="s">
        <v>33</v>
      </c>
      <c r="D10" s="11" t="n">
        <v>20</v>
      </c>
      <c r="E10" s="11" t="s">
        <v>155</v>
      </c>
      <c r="F10" s="11" t="s">
        <v>157</v>
      </c>
      <c r="G10" s="12" t="n">
        <v>0.02</v>
      </c>
      <c r="H10" s="12" t="n">
        <v>0.5</v>
      </c>
      <c r="I10" s="12" t="n">
        <v>25</v>
      </c>
      <c r="J10" s="12" t="n">
        <v>40</v>
      </c>
    </row>
    <row r="11" customFormat="false" ht="15" hidden="false" customHeight="true" outlineLevel="0" collapsed="false">
      <c r="A11" s="11" t="s">
        <v>185</v>
      </c>
      <c r="B11" s="11" t="s">
        <v>32</v>
      </c>
      <c r="C11" s="11" t="s">
        <v>33</v>
      </c>
      <c r="D11" s="11" t="n">
        <v>30</v>
      </c>
      <c r="E11" s="11" t="s">
        <v>162</v>
      </c>
      <c r="F11" s="11" t="s">
        <v>164</v>
      </c>
      <c r="G11" s="12" t="n">
        <v>0.018</v>
      </c>
      <c r="H11" s="12" t="n">
        <v>1</v>
      </c>
      <c r="I11" s="12" t="n">
        <v>25</v>
      </c>
      <c r="J11" s="12" t="n">
        <v>40</v>
      </c>
    </row>
    <row r="12" customFormat="false" ht="15" hidden="false" customHeight="true" outlineLevel="0" collapsed="false">
      <c r="A12" s="11" t="s">
        <v>186</v>
      </c>
      <c r="B12" s="11" t="s">
        <v>34</v>
      </c>
      <c r="C12" s="11" t="s">
        <v>35</v>
      </c>
      <c r="D12" s="11" t="n">
        <v>10</v>
      </c>
      <c r="E12" s="11" t="s">
        <v>148</v>
      </c>
      <c r="F12" s="11" t="s">
        <v>150</v>
      </c>
      <c r="G12" s="12" t="n">
        <v>0.033</v>
      </c>
      <c r="H12" s="12" t="n">
        <v>0.75</v>
      </c>
      <c r="I12" s="12" t="n">
        <v>20</v>
      </c>
      <c r="J12" s="12" t="n">
        <v>35</v>
      </c>
    </row>
    <row r="13" customFormat="false" ht="15" hidden="false" customHeight="true" outlineLevel="0" collapsed="false">
      <c r="A13" s="11" t="s">
        <v>187</v>
      </c>
      <c r="B13" s="11" t="s">
        <v>34</v>
      </c>
      <c r="C13" s="11" t="s">
        <v>35</v>
      </c>
      <c r="D13" s="11" t="n">
        <v>20</v>
      </c>
      <c r="E13" s="11" t="s">
        <v>155</v>
      </c>
      <c r="F13" s="11" t="s">
        <v>153</v>
      </c>
      <c r="G13" s="12" t="n">
        <v>0.02</v>
      </c>
      <c r="H13" s="12" t="n">
        <v>0.5</v>
      </c>
      <c r="I13" s="12" t="n">
        <v>20</v>
      </c>
      <c r="J13" s="12" t="n">
        <v>35</v>
      </c>
    </row>
    <row r="14" customFormat="false" ht="15" hidden="false" customHeight="true" outlineLevel="0" collapsed="false">
      <c r="A14" s="11" t="s">
        <v>188</v>
      </c>
      <c r="B14" s="11" t="s">
        <v>34</v>
      </c>
      <c r="C14" s="11" t="s">
        <v>35</v>
      </c>
      <c r="D14" s="11" t="n">
        <v>30</v>
      </c>
      <c r="E14" s="11" t="s">
        <v>162</v>
      </c>
      <c r="F14" s="11" t="s">
        <v>166</v>
      </c>
      <c r="G14" s="12" t="n">
        <v>0.025</v>
      </c>
      <c r="H14" s="12" t="n">
        <v>1.5</v>
      </c>
      <c r="I14" s="12" t="n">
        <v>20</v>
      </c>
      <c r="J14" s="12" t="n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22"/>
    <col collapsed="false" customWidth="true" hidden="false" outlineLevel="0" max="6" min="2" style="9" width="18"/>
  </cols>
  <sheetData>
    <row r="1" customFormat="false" ht="15" hidden="false" customHeight="true" outlineLevel="0" collapsed="false">
      <c r="A1" s="16" t="s">
        <v>189</v>
      </c>
      <c r="B1" s="10" t="s">
        <v>25</v>
      </c>
      <c r="C1" s="10" t="s">
        <v>29</v>
      </c>
      <c r="D1" s="10" t="s">
        <v>31</v>
      </c>
      <c r="E1" s="10" t="s">
        <v>33</v>
      </c>
      <c r="F1" s="10" t="s">
        <v>35</v>
      </c>
    </row>
    <row r="2" customFormat="false" ht="15" hidden="false" customHeight="true" outlineLevel="0" collapsed="false">
      <c r="A2" s="10" t="s">
        <v>25</v>
      </c>
      <c r="B2" s="17" t="n">
        <v>0</v>
      </c>
      <c r="C2" s="18" t="n">
        <v>30</v>
      </c>
      <c r="D2" s="18" t="n">
        <v>60</v>
      </c>
      <c r="E2" s="18" t="n">
        <v>60</v>
      </c>
      <c r="F2" s="18" t="n">
        <v>90</v>
      </c>
    </row>
    <row r="3" customFormat="false" ht="15" hidden="false" customHeight="true" outlineLevel="0" collapsed="false">
      <c r="A3" s="10" t="s">
        <v>29</v>
      </c>
      <c r="B3" s="18" t="n">
        <v>30</v>
      </c>
      <c r="C3" s="17" t="n">
        <v>0</v>
      </c>
      <c r="D3" s="18" t="n">
        <v>60</v>
      </c>
      <c r="E3" s="18" t="n">
        <v>60</v>
      </c>
      <c r="F3" s="18" t="n">
        <v>90</v>
      </c>
    </row>
    <row r="4" customFormat="false" ht="15" hidden="false" customHeight="true" outlineLevel="0" collapsed="false">
      <c r="A4" s="10" t="s">
        <v>31</v>
      </c>
      <c r="B4" s="18" t="n">
        <v>60</v>
      </c>
      <c r="C4" s="18" t="n">
        <v>60</v>
      </c>
      <c r="D4" s="17" t="n">
        <v>0</v>
      </c>
      <c r="E4" s="18" t="n">
        <v>30</v>
      </c>
      <c r="F4" s="18" t="n">
        <v>90</v>
      </c>
    </row>
    <row r="5" customFormat="false" ht="15" hidden="false" customHeight="true" outlineLevel="0" collapsed="false">
      <c r="A5" s="10" t="s">
        <v>33</v>
      </c>
      <c r="B5" s="18" t="n">
        <v>60</v>
      </c>
      <c r="C5" s="18" t="n">
        <v>60</v>
      </c>
      <c r="D5" s="18" t="n">
        <v>30</v>
      </c>
      <c r="E5" s="17" t="n">
        <v>0</v>
      </c>
      <c r="F5" s="18" t="n">
        <v>90</v>
      </c>
    </row>
    <row r="6" customFormat="false" ht="15" hidden="false" customHeight="true" outlineLevel="0" collapsed="false">
      <c r="A6" s="10" t="s">
        <v>35</v>
      </c>
      <c r="B6" s="18" t="n">
        <v>90</v>
      </c>
      <c r="C6" s="18" t="n">
        <v>90</v>
      </c>
      <c r="D6" s="18" t="n">
        <v>90</v>
      </c>
      <c r="E6" s="18" t="n">
        <v>90</v>
      </c>
      <c r="F6" s="1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4"/>
    <col collapsed="false" customWidth="true" hidden="false" outlineLevel="0" max="2" min="2" style="9" width="24"/>
    <col collapsed="false" customWidth="true" hidden="false" outlineLevel="0" max="3" min="3" style="9" width="12"/>
    <col collapsed="false" customWidth="true" hidden="false" outlineLevel="0" max="17" min="4" style="9" width="10"/>
  </cols>
  <sheetData>
    <row r="1" customFormat="false" ht="15" hidden="false" customHeight="true" outlineLevel="0" collapsed="false">
      <c r="A1" s="10" t="s">
        <v>138</v>
      </c>
      <c r="B1" s="10" t="s">
        <v>139</v>
      </c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10" t="s">
        <v>195</v>
      </c>
      <c r="I1" s="10" t="s">
        <v>196</v>
      </c>
      <c r="J1" s="10" t="s">
        <v>197</v>
      </c>
      <c r="K1" s="10" t="s">
        <v>198</v>
      </c>
      <c r="L1" s="10" t="s">
        <v>199</v>
      </c>
      <c r="M1" s="10" t="s">
        <v>200</v>
      </c>
      <c r="N1" s="10" t="s">
        <v>201</v>
      </c>
      <c r="O1" s="10" t="s">
        <v>202</v>
      </c>
      <c r="P1" s="10" t="s">
        <v>203</v>
      </c>
      <c r="Q1" s="10" t="s">
        <v>204</v>
      </c>
    </row>
    <row r="2" customFormat="false" ht="15" hidden="false" customHeight="true" outlineLevel="0" collapsed="false">
      <c r="A2" s="11" t="s">
        <v>146</v>
      </c>
      <c r="B2" s="11" t="s">
        <v>147</v>
      </c>
      <c r="C2" s="11" t="n">
        <v>24</v>
      </c>
      <c r="D2" s="19" t="n">
        <v>0</v>
      </c>
      <c r="E2" s="19" t="n">
        <v>0</v>
      </c>
      <c r="F2" s="19" t="n">
        <v>0</v>
      </c>
      <c r="G2" s="19" t="n">
        <v>0</v>
      </c>
      <c r="H2" s="19" t="n">
        <v>0</v>
      </c>
      <c r="I2" s="19" t="n">
        <v>0</v>
      </c>
      <c r="J2" s="19" t="n">
        <v>0</v>
      </c>
      <c r="K2" s="19" t="n">
        <v>0</v>
      </c>
      <c r="L2" s="19" t="n">
        <v>0</v>
      </c>
      <c r="M2" s="19" t="n">
        <v>0</v>
      </c>
      <c r="N2" s="19" t="n">
        <v>0</v>
      </c>
      <c r="O2" s="19" t="n">
        <v>0</v>
      </c>
      <c r="P2" s="19" t="n">
        <v>0</v>
      </c>
      <c r="Q2" s="19" t="n">
        <v>0</v>
      </c>
    </row>
    <row r="3" customFormat="false" ht="15" hidden="false" customHeight="true" outlineLevel="0" collapsed="false">
      <c r="A3" s="11" t="s">
        <v>150</v>
      </c>
      <c r="B3" s="11" t="s">
        <v>151</v>
      </c>
      <c r="C3" s="11" t="n">
        <v>24</v>
      </c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19" t="n">
        <v>0</v>
      </c>
    </row>
    <row r="4" customFormat="false" ht="15" hidden="false" customHeight="true" outlineLevel="0" collapsed="false">
      <c r="A4" s="11" t="s">
        <v>153</v>
      </c>
      <c r="B4" s="11" t="s">
        <v>154</v>
      </c>
      <c r="C4" s="11" t="n">
        <v>24</v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19" t="n">
        <v>0</v>
      </c>
    </row>
    <row r="5" customFormat="false" ht="15" hidden="false" customHeight="true" outlineLevel="0" collapsed="false">
      <c r="A5" s="11" t="s">
        <v>157</v>
      </c>
      <c r="B5" s="11" t="s">
        <v>158</v>
      </c>
      <c r="C5" s="11" t="n">
        <v>24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0</v>
      </c>
    </row>
    <row r="6" customFormat="false" ht="15" hidden="false" customHeight="true" outlineLevel="0" collapsed="false">
      <c r="A6" s="11" t="s">
        <v>160</v>
      </c>
      <c r="B6" s="11" t="s">
        <v>161</v>
      </c>
      <c r="C6" s="11" t="n">
        <v>16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0</v>
      </c>
    </row>
    <row r="7" customFormat="false" ht="15" hidden="false" customHeight="true" outlineLevel="0" collapsed="false">
      <c r="A7" s="11" t="s">
        <v>164</v>
      </c>
      <c r="B7" s="11" t="s">
        <v>165</v>
      </c>
      <c r="C7" s="11" t="n">
        <v>16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</row>
    <row r="8" customFormat="false" ht="15" hidden="false" customHeight="true" outlineLevel="0" collapsed="false">
      <c r="A8" s="11" t="s">
        <v>166</v>
      </c>
      <c r="B8" s="11" t="s">
        <v>167</v>
      </c>
      <c r="C8" s="11" t="n">
        <v>16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</row>
    <row r="10" customFormat="false" ht="15" hidden="false" customHeight="true" outlineLevel="0" collapsed="false">
      <c r="A10" s="20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9" width="12"/>
    <col collapsed="false" customWidth="true" hidden="false" outlineLevel="0" max="3" min="3" style="9" width="14"/>
    <col collapsed="false" customWidth="true" hidden="false" outlineLevel="0" max="4" min="4" style="9" width="22"/>
    <col collapsed="false" customWidth="true" hidden="false" outlineLevel="0" max="6" min="5" style="9" width="14"/>
    <col collapsed="false" customWidth="true" hidden="false" outlineLevel="0" max="8" min="7" style="9" width="18"/>
    <col collapsed="false" customWidth="true" hidden="false" outlineLevel="0" max="9" min="9" style="9" width="14"/>
    <col collapsed="false" customWidth="true" hidden="false" outlineLevel="0" max="10" min="10" style="9" width="10"/>
    <col collapsed="false" customWidth="true" hidden="false" outlineLevel="0" max="11" min="11" style="9" width="12"/>
    <col collapsed="false" customWidth="true" hidden="false" outlineLevel="0" max="13" min="12" style="9" width="18"/>
    <col collapsed="false" customWidth="true" hidden="false" outlineLevel="0" max="14" min="14" style="9" width="14"/>
  </cols>
  <sheetData>
    <row r="1" customFormat="false" ht="15" hidden="false" customHeight="true" outlineLevel="0" collapsed="false">
      <c r="A1" s="10" t="s">
        <v>206</v>
      </c>
      <c r="B1" s="10" t="s">
        <v>82</v>
      </c>
      <c r="C1" s="10" t="s">
        <v>15</v>
      </c>
      <c r="D1" s="10" t="s">
        <v>16</v>
      </c>
      <c r="E1" s="10" t="s">
        <v>171</v>
      </c>
      <c r="F1" s="10" t="s">
        <v>138</v>
      </c>
      <c r="G1" s="10" t="s">
        <v>207</v>
      </c>
      <c r="H1" s="10" t="s">
        <v>208</v>
      </c>
      <c r="I1" s="10" t="s">
        <v>209</v>
      </c>
      <c r="J1" s="10" t="s">
        <v>210</v>
      </c>
      <c r="K1" s="10" t="s">
        <v>89</v>
      </c>
      <c r="L1" s="10" t="s">
        <v>211</v>
      </c>
      <c r="M1" s="10" t="s">
        <v>212</v>
      </c>
      <c r="N1" s="10" t="s">
        <v>213</v>
      </c>
    </row>
    <row r="2" customFormat="false" ht="15" hidden="false" customHeight="true" outlineLevel="0" collapsed="false">
      <c r="A2" s="21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2"/>
    <col collapsed="false" customWidth="true" hidden="false" outlineLevel="0" max="3" min="2" style="9" width="14"/>
    <col collapsed="false" customWidth="true" hidden="false" outlineLevel="0" max="9" min="4" style="9" width="18"/>
    <col collapsed="false" customWidth="true" hidden="false" outlineLevel="0" max="10" min="10" style="9" width="14"/>
    <col collapsed="false" customWidth="true" hidden="false" outlineLevel="0" max="11" min="11" style="9" width="12"/>
    <col collapsed="false" customWidth="true" hidden="false" outlineLevel="0" max="12" min="12" style="9" width="10"/>
  </cols>
  <sheetData>
    <row r="1" customFormat="false" ht="15" hidden="false" customHeight="true" outlineLevel="0" collapsed="false">
      <c r="A1" s="10" t="s">
        <v>206</v>
      </c>
      <c r="B1" s="10" t="s">
        <v>138</v>
      </c>
      <c r="C1" s="10" t="s">
        <v>15</v>
      </c>
      <c r="D1" s="10" t="s">
        <v>207</v>
      </c>
      <c r="E1" s="10" t="s">
        <v>208</v>
      </c>
      <c r="F1" s="10" t="s">
        <v>211</v>
      </c>
      <c r="G1" s="10" t="s">
        <v>212</v>
      </c>
      <c r="H1" s="10" t="s">
        <v>215</v>
      </c>
      <c r="I1" s="10" t="s">
        <v>216</v>
      </c>
      <c r="J1" s="10" t="s">
        <v>213</v>
      </c>
      <c r="K1" s="10" t="s">
        <v>217</v>
      </c>
      <c r="L1" s="10" t="s">
        <v>218</v>
      </c>
    </row>
    <row r="2" customFormat="false" ht="15" hidden="false" customHeight="true" outlineLevel="0" collapsed="false">
      <c r="A2" s="21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28"/>
    <col collapsed="false" customWidth="true" hidden="false" outlineLevel="0" max="2" min="2" style="9" width="16"/>
    <col collapsed="false" customWidth="true" hidden="false" outlineLevel="0" max="3" min="3" style="9" width="40"/>
  </cols>
  <sheetData>
    <row r="1" customFormat="false" ht="15" hidden="false" customHeight="true" outlineLevel="0" collapsed="false">
      <c r="A1" s="22" t="s">
        <v>220</v>
      </c>
      <c r="B1" s="22"/>
      <c r="C1" s="22"/>
      <c r="D1" s="22"/>
    </row>
    <row r="2" customFormat="false" ht="15" hidden="false" customHeight="true" outlineLevel="0" collapsed="false">
      <c r="A2" s="10" t="s">
        <v>221</v>
      </c>
      <c r="B2" s="10" t="s">
        <v>222</v>
      </c>
      <c r="C2" s="10" t="s">
        <v>223</v>
      </c>
    </row>
    <row r="3" customFormat="false" ht="15" hidden="false" customHeight="true" outlineLevel="0" collapsed="false">
      <c r="A3" s="11" t="s">
        <v>224</v>
      </c>
      <c r="B3" s="23" t="n">
        <v>0</v>
      </c>
      <c r="C3" s="11" t="s">
        <v>225</v>
      </c>
    </row>
    <row r="4" customFormat="false" ht="15" hidden="false" customHeight="true" outlineLevel="0" collapsed="false">
      <c r="A4" s="11" t="s">
        <v>226</v>
      </c>
      <c r="B4" s="23"/>
      <c r="C4" s="11" t="s">
        <v>227</v>
      </c>
    </row>
    <row r="5" customFormat="false" ht="15" hidden="false" customHeight="true" outlineLevel="0" collapsed="false">
      <c r="A5" s="11" t="s">
        <v>228</v>
      </c>
      <c r="B5" s="23" t="n">
        <v>0</v>
      </c>
      <c r="C5" s="11" t="s">
        <v>229</v>
      </c>
    </row>
    <row r="6" customFormat="false" ht="15" hidden="false" customHeight="true" outlineLevel="0" collapsed="false">
      <c r="A6" s="11" t="s">
        <v>230</v>
      </c>
      <c r="B6" s="23"/>
      <c r="C6" s="11" t="s">
        <v>231</v>
      </c>
    </row>
    <row r="7" customFormat="false" ht="15" hidden="false" customHeight="true" outlineLevel="0" collapsed="false">
      <c r="A7" s="11" t="s">
        <v>232</v>
      </c>
      <c r="B7" s="23" t="n">
        <v>0</v>
      </c>
      <c r="C7" s="11" t="s">
        <v>233</v>
      </c>
    </row>
    <row r="8" customFormat="false" ht="15" hidden="false" customHeight="true" outlineLevel="0" collapsed="false">
      <c r="A8" s="11" t="s">
        <v>234</v>
      </c>
      <c r="B8" s="23"/>
      <c r="C8" s="11" t="s">
        <v>235</v>
      </c>
    </row>
    <row r="9" customFormat="false" ht="15" hidden="false" customHeight="true" outlineLevel="0" collapsed="false">
      <c r="A9" s="11" t="s">
        <v>236</v>
      </c>
      <c r="B9" s="23" t="n">
        <v>0</v>
      </c>
      <c r="C9" s="11" t="s">
        <v>237</v>
      </c>
    </row>
    <row r="10" customFormat="false" ht="15" hidden="false" customHeight="true" outlineLevel="0" collapsed="false">
      <c r="A10" s="11" t="s">
        <v>238</v>
      </c>
      <c r="B10" s="23" t="n">
        <v>2</v>
      </c>
      <c r="C10" s="11" t="s">
        <v>239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9" width="30"/>
    <col collapsed="false" customWidth="true" hidden="false" outlineLevel="0" max="3" min="3" style="9" width="20"/>
  </cols>
  <sheetData>
    <row r="1" customFormat="false" ht="17.25" hidden="false" customHeight="true" outlineLevel="0" collapsed="false">
      <c r="A1" s="1" t="s">
        <v>240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10" t="s">
        <v>241</v>
      </c>
      <c r="B3" s="10" t="s">
        <v>222</v>
      </c>
      <c r="C3" s="10" t="s">
        <v>242</v>
      </c>
    </row>
    <row r="4" customFormat="false" ht="15" hidden="false" customHeight="true" outlineLevel="0" collapsed="false">
      <c r="A4" s="11" t="s">
        <v>243</v>
      </c>
      <c r="B4" s="14" t="n">
        <f aca="false">COUNTIF(Schedule_Output!K:K,"Complete")/COUNTA(Schedule_Output!A:A)-1</f>
        <v>-1</v>
      </c>
      <c r="C4" s="11" t="s">
        <v>244</v>
      </c>
    </row>
    <row r="5" customFormat="false" ht="15" hidden="false" customHeight="true" outlineLevel="0" collapsed="false">
      <c r="A5" s="11" t="s">
        <v>245</v>
      </c>
      <c r="B5" s="24" t="s">
        <v>246</v>
      </c>
      <c r="C5" s="11" t="s">
        <v>247</v>
      </c>
    </row>
    <row r="6" customFormat="false" ht="15" hidden="false" customHeight="true" outlineLevel="0" collapsed="false">
      <c r="A6" s="11" t="s">
        <v>248</v>
      </c>
      <c r="B6" s="24" t="s">
        <v>249</v>
      </c>
      <c r="C6" s="11" t="s">
        <v>250</v>
      </c>
    </row>
    <row r="7" customFormat="false" ht="15" hidden="false" customHeight="true" outlineLevel="0" collapsed="false">
      <c r="A7" s="11" t="s">
        <v>251</v>
      </c>
      <c r="B7" s="14" t="n">
        <f aca="false">COUNTA(Sales_Orders!A:A)-1</f>
        <v>20</v>
      </c>
      <c r="C7" s="11" t="s">
        <v>252</v>
      </c>
    </row>
    <row r="8" customFormat="false" ht="15" hidden="false" customHeight="true" outlineLevel="0" collapsed="false">
      <c r="A8" s="11" t="s">
        <v>253</v>
      </c>
      <c r="B8" s="24" t="s">
        <v>254</v>
      </c>
      <c r="C8" s="11" t="s">
        <v>255</v>
      </c>
    </row>
    <row r="9" customFormat="false" ht="15" hidden="false" customHeight="true" outlineLevel="0" collapsed="false">
      <c r="A9" s="11" t="s">
        <v>256</v>
      </c>
      <c r="B9" s="24" t="s">
        <v>257</v>
      </c>
      <c r="C9" s="11" t="s">
        <v>258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2026-04-01T03:03:54Z</dcterms:created>
  <dc:creator>openpyxl</dc:creator>
  <dc:description/>
  <dc:language>en-US</dc:language>
  <cp:lastModifiedBy/>
  <dcterms:modified xsi:type="dcterms:W3CDTF">2026-04-01T04:04:39Z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